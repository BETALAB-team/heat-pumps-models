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francesco_bena_studenti_unipd_it/Documents/PHD/2--Calculations/1--Processing HP CMP 2024/1--NewData/Heat Pumps models/Data/"/>
    </mc:Choice>
  </mc:AlternateContent>
  <xr:revisionPtr revIDLastSave="203" documentId="8_{B190E93B-CA7F-4075-96AE-0D1C0C638047}" xr6:coauthVersionLast="47" xr6:coauthVersionMax="47" xr10:uidLastSave="{BC72BE68-2D4A-440C-B709-7984630C683F}"/>
  <bookViews>
    <workbookView xWindow="57480" yWindow="-120" windowWidth="38640" windowHeight="21120" activeTab="1" xr2:uid="{2805E08D-1836-4886-BA3B-3C3918BE4387}"/>
  </bookViews>
  <sheets>
    <sheet name="SetData" sheetId="3" r:id="rId1"/>
    <sheet name="Test" sheetId="2" r:id="rId2"/>
    <sheet name="curve" sheetId="4" r:id="rId3"/>
  </sheets>
  <definedNames>
    <definedName name="_xlnm._FilterDatabase" localSheetId="0" hidden="1">SetData!$A$1:$T$727</definedName>
    <definedName name="_xlnm._FilterDatabase" localSheetId="1" hidden="1">Test!$A$1:$T$727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" i="2"/>
  <c r="T14" i="2"/>
  <c r="T13" i="2"/>
  <c r="G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C3" i="4"/>
  <c r="L3" i="3"/>
  <c r="L4" i="3"/>
  <c r="L5" i="3"/>
  <c r="L6" i="3"/>
  <c r="L2" i="3"/>
  <c r="B3" i="3"/>
  <c r="B2" i="3"/>
  <c r="E3" i="3"/>
  <c r="E4" i="3"/>
  <c r="E5" i="3"/>
  <c r="E6" i="3"/>
  <c r="E2" i="3"/>
  <c r="G3" i="3"/>
  <c r="G4" i="3"/>
  <c r="G5" i="3"/>
  <c r="G6" i="3"/>
  <c r="C3" i="3"/>
  <c r="C4" i="3"/>
  <c r="C5" i="3"/>
  <c r="C6" i="3"/>
  <c r="C2" i="3"/>
  <c r="B4" i="3"/>
  <c r="B5" i="3"/>
  <c r="B6" i="3"/>
  <c r="T4" i="3"/>
  <c r="M3" i="3"/>
  <c r="M4" i="3"/>
  <c r="M5" i="3"/>
  <c r="M6" i="3"/>
  <c r="M2" i="3"/>
  <c r="C6" i="4"/>
  <c r="C5" i="4"/>
  <c r="C4" i="4"/>
  <c r="K3" i="3" l="1"/>
  <c r="K4" i="3"/>
  <c r="K5" i="3"/>
  <c r="K6" i="3"/>
  <c r="K2" i="3" l="1"/>
  <c r="B285" i="2" l="1"/>
  <c r="C285" i="2"/>
  <c r="E285" i="2"/>
  <c r="G285" i="2"/>
  <c r="K285" i="2"/>
  <c r="B286" i="2"/>
  <c r="C286" i="2"/>
  <c r="E286" i="2"/>
  <c r="G286" i="2"/>
  <c r="K286" i="2"/>
  <c r="B287" i="2"/>
  <c r="C287" i="2"/>
  <c r="E287" i="2"/>
  <c r="G287" i="2"/>
  <c r="K287" i="2"/>
  <c r="B288" i="2"/>
  <c r="C288" i="2"/>
  <c r="E288" i="2"/>
  <c r="G288" i="2"/>
  <c r="K288" i="2"/>
  <c r="B289" i="2"/>
  <c r="C289" i="2"/>
  <c r="E289" i="2"/>
  <c r="G289" i="2"/>
  <c r="K289" i="2"/>
  <c r="B290" i="2"/>
  <c r="C290" i="2"/>
  <c r="E290" i="2"/>
  <c r="G290" i="2"/>
  <c r="K290" i="2"/>
  <c r="B291" i="2"/>
  <c r="C291" i="2"/>
  <c r="E291" i="2"/>
  <c r="G291" i="2"/>
  <c r="K291" i="2"/>
  <c r="B292" i="2"/>
  <c r="C292" i="2"/>
  <c r="E292" i="2"/>
  <c r="G292" i="2"/>
  <c r="K292" i="2"/>
  <c r="B293" i="2"/>
  <c r="C293" i="2"/>
  <c r="E293" i="2"/>
  <c r="G293" i="2"/>
  <c r="K293" i="2"/>
  <c r="B294" i="2"/>
  <c r="C294" i="2"/>
  <c r="E294" i="2"/>
  <c r="G294" i="2"/>
  <c r="K294" i="2"/>
  <c r="B295" i="2"/>
  <c r="C295" i="2"/>
  <c r="E295" i="2"/>
  <c r="G295" i="2"/>
  <c r="K295" i="2"/>
  <c r="B296" i="2"/>
  <c r="C296" i="2"/>
  <c r="E296" i="2"/>
  <c r="G296" i="2"/>
  <c r="K296" i="2"/>
  <c r="B297" i="2"/>
  <c r="C297" i="2"/>
  <c r="E297" i="2"/>
  <c r="G297" i="2"/>
  <c r="K297" i="2"/>
  <c r="B298" i="2"/>
  <c r="C298" i="2"/>
  <c r="E298" i="2"/>
  <c r="G298" i="2"/>
  <c r="K298" i="2"/>
  <c r="B299" i="2"/>
  <c r="C299" i="2"/>
  <c r="E299" i="2"/>
  <c r="G299" i="2"/>
  <c r="K299" i="2"/>
  <c r="B300" i="2"/>
  <c r="C300" i="2"/>
  <c r="E300" i="2"/>
  <c r="G300" i="2"/>
  <c r="K300" i="2"/>
  <c r="B301" i="2"/>
  <c r="C301" i="2"/>
  <c r="E301" i="2"/>
  <c r="G301" i="2"/>
  <c r="K301" i="2"/>
  <c r="B302" i="2"/>
  <c r="C302" i="2"/>
  <c r="E302" i="2"/>
  <c r="G302" i="2"/>
  <c r="K302" i="2"/>
  <c r="B303" i="2"/>
  <c r="C303" i="2"/>
  <c r="E303" i="2"/>
  <c r="G303" i="2"/>
  <c r="K303" i="2"/>
  <c r="B304" i="2"/>
  <c r="C304" i="2"/>
  <c r="E304" i="2"/>
  <c r="G304" i="2"/>
  <c r="K304" i="2"/>
  <c r="B305" i="2"/>
  <c r="C305" i="2"/>
  <c r="E305" i="2"/>
  <c r="G305" i="2"/>
  <c r="K305" i="2"/>
  <c r="B306" i="2"/>
  <c r="C306" i="2"/>
  <c r="E306" i="2"/>
  <c r="G306" i="2"/>
  <c r="K306" i="2"/>
  <c r="B307" i="2"/>
  <c r="C307" i="2"/>
  <c r="E307" i="2"/>
  <c r="G307" i="2"/>
  <c r="K307" i="2"/>
  <c r="B308" i="2"/>
  <c r="C308" i="2"/>
  <c r="E308" i="2"/>
  <c r="G308" i="2"/>
  <c r="K308" i="2"/>
  <c r="B309" i="2"/>
  <c r="C309" i="2"/>
  <c r="E309" i="2"/>
  <c r="G309" i="2"/>
  <c r="K309" i="2"/>
  <c r="B310" i="2"/>
  <c r="C310" i="2"/>
  <c r="E310" i="2"/>
  <c r="G310" i="2"/>
  <c r="K310" i="2"/>
  <c r="B311" i="2"/>
  <c r="C311" i="2"/>
  <c r="E311" i="2"/>
  <c r="G311" i="2"/>
  <c r="K311" i="2"/>
  <c r="B312" i="2"/>
  <c r="C312" i="2"/>
  <c r="E312" i="2"/>
  <c r="G312" i="2"/>
  <c r="K312" i="2"/>
  <c r="B313" i="2"/>
  <c r="C313" i="2"/>
  <c r="E313" i="2"/>
  <c r="G313" i="2"/>
  <c r="K313" i="2"/>
  <c r="B314" i="2"/>
  <c r="C314" i="2"/>
  <c r="E314" i="2"/>
  <c r="G314" i="2"/>
  <c r="K314" i="2"/>
  <c r="B315" i="2"/>
  <c r="C315" i="2"/>
  <c r="E315" i="2"/>
  <c r="G315" i="2"/>
  <c r="K315" i="2"/>
  <c r="B316" i="2"/>
  <c r="C316" i="2"/>
  <c r="E316" i="2"/>
  <c r="G316" i="2"/>
  <c r="K316" i="2"/>
  <c r="B317" i="2"/>
  <c r="C317" i="2"/>
  <c r="E317" i="2"/>
  <c r="G317" i="2"/>
  <c r="K317" i="2"/>
  <c r="B318" i="2"/>
  <c r="C318" i="2"/>
  <c r="E318" i="2"/>
  <c r="G318" i="2"/>
  <c r="K318" i="2"/>
  <c r="B319" i="2"/>
  <c r="C319" i="2"/>
  <c r="E319" i="2"/>
  <c r="G319" i="2"/>
  <c r="K319" i="2"/>
  <c r="B320" i="2"/>
  <c r="C320" i="2"/>
  <c r="E320" i="2"/>
  <c r="G320" i="2"/>
  <c r="K320" i="2"/>
  <c r="B321" i="2"/>
  <c r="C321" i="2"/>
  <c r="E321" i="2"/>
  <c r="G321" i="2"/>
  <c r="K321" i="2"/>
  <c r="B322" i="2"/>
  <c r="C322" i="2"/>
  <c r="E322" i="2"/>
  <c r="G322" i="2"/>
  <c r="K322" i="2"/>
  <c r="B323" i="2"/>
  <c r="C323" i="2"/>
  <c r="E323" i="2"/>
  <c r="G323" i="2"/>
  <c r="K323" i="2"/>
  <c r="B324" i="2"/>
  <c r="C324" i="2"/>
  <c r="E324" i="2"/>
  <c r="G324" i="2"/>
  <c r="K324" i="2"/>
  <c r="B325" i="2"/>
  <c r="C325" i="2"/>
  <c r="E325" i="2"/>
  <c r="G325" i="2"/>
  <c r="K325" i="2"/>
  <c r="B326" i="2"/>
  <c r="C326" i="2"/>
  <c r="E326" i="2"/>
  <c r="G326" i="2"/>
  <c r="K326" i="2"/>
  <c r="B327" i="2"/>
  <c r="C327" i="2"/>
  <c r="E327" i="2"/>
  <c r="G327" i="2"/>
  <c r="K327" i="2"/>
  <c r="B328" i="2"/>
  <c r="C328" i="2"/>
  <c r="E328" i="2"/>
  <c r="G328" i="2"/>
  <c r="K328" i="2"/>
  <c r="B329" i="2"/>
  <c r="C329" i="2"/>
  <c r="E329" i="2"/>
  <c r="G329" i="2"/>
  <c r="K329" i="2"/>
  <c r="B330" i="2"/>
  <c r="C330" i="2"/>
  <c r="E330" i="2"/>
  <c r="G330" i="2"/>
  <c r="K330" i="2"/>
  <c r="B331" i="2"/>
  <c r="C331" i="2"/>
  <c r="E331" i="2"/>
  <c r="G331" i="2"/>
  <c r="K331" i="2"/>
  <c r="B332" i="2"/>
  <c r="C332" i="2"/>
  <c r="E332" i="2"/>
  <c r="G332" i="2"/>
  <c r="K332" i="2"/>
  <c r="B333" i="2"/>
  <c r="C333" i="2"/>
  <c r="E333" i="2"/>
  <c r="G333" i="2"/>
  <c r="K333" i="2"/>
  <c r="B334" i="2"/>
  <c r="C334" i="2"/>
  <c r="E334" i="2"/>
  <c r="G334" i="2"/>
  <c r="K334" i="2"/>
  <c r="B335" i="2"/>
  <c r="C335" i="2"/>
  <c r="E335" i="2"/>
  <c r="G335" i="2"/>
  <c r="K335" i="2"/>
  <c r="B336" i="2"/>
  <c r="C336" i="2"/>
  <c r="E336" i="2"/>
  <c r="G336" i="2"/>
  <c r="K336" i="2"/>
  <c r="B337" i="2"/>
  <c r="C337" i="2"/>
  <c r="E337" i="2"/>
  <c r="G337" i="2"/>
  <c r="K337" i="2"/>
  <c r="B338" i="2"/>
  <c r="C338" i="2"/>
  <c r="E338" i="2"/>
  <c r="G338" i="2"/>
  <c r="K338" i="2"/>
  <c r="B339" i="2"/>
  <c r="C339" i="2"/>
  <c r="E339" i="2"/>
  <c r="G339" i="2"/>
  <c r="K339" i="2"/>
  <c r="B340" i="2"/>
  <c r="C340" i="2"/>
  <c r="E340" i="2"/>
  <c r="G340" i="2"/>
  <c r="K340" i="2"/>
  <c r="B341" i="2"/>
  <c r="C341" i="2"/>
  <c r="E341" i="2"/>
  <c r="G341" i="2"/>
  <c r="K341" i="2"/>
  <c r="B342" i="2"/>
  <c r="C342" i="2"/>
  <c r="E342" i="2"/>
  <c r="G342" i="2"/>
  <c r="K342" i="2"/>
  <c r="B343" i="2"/>
  <c r="C343" i="2"/>
  <c r="E343" i="2"/>
  <c r="G343" i="2"/>
  <c r="K343" i="2"/>
  <c r="B344" i="2"/>
  <c r="C344" i="2"/>
  <c r="E344" i="2"/>
  <c r="G344" i="2"/>
  <c r="K344" i="2"/>
  <c r="B345" i="2"/>
  <c r="C345" i="2"/>
  <c r="E345" i="2"/>
  <c r="G345" i="2"/>
  <c r="K345" i="2"/>
  <c r="B346" i="2"/>
  <c r="C346" i="2"/>
  <c r="E346" i="2"/>
  <c r="G346" i="2"/>
  <c r="K346" i="2"/>
  <c r="B347" i="2"/>
  <c r="C347" i="2"/>
  <c r="E347" i="2"/>
  <c r="G347" i="2"/>
  <c r="K347" i="2"/>
  <c r="B348" i="2"/>
  <c r="C348" i="2"/>
  <c r="E348" i="2"/>
  <c r="G348" i="2"/>
  <c r="K348" i="2"/>
  <c r="B349" i="2"/>
  <c r="C349" i="2"/>
  <c r="E349" i="2"/>
  <c r="G349" i="2"/>
  <c r="K349" i="2"/>
  <c r="B350" i="2"/>
  <c r="C350" i="2"/>
  <c r="E350" i="2"/>
  <c r="G350" i="2"/>
  <c r="K350" i="2"/>
  <c r="B351" i="2"/>
  <c r="C351" i="2"/>
  <c r="E351" i="2"/>
  <c r="G351" i="2"/>
  <c r="K351" i="2"/>
  <c r="B352" i="2"/>
  <c r="C352" i="2"/>
  <c r="E352" i="2"/>
  <c r="G352" i="2"/>
  <c r="K352" i="2"/>
  <c r="B353" i="2"/>
  <c r="C353" i="2"/>
  <c r="E353" i="2"/>
  <c r="G353" i="2"/>
  <c r="K353" i="2"/>
  <c r="B354" i="2"/>
  <c r="C354" i="2"/>
  <c r="E354" i="2"/>
  <c r="G354" i="2"/>
  <c r="K354" i="2"/>
  <c r="B355" i="2"/>
  <c r="C355" i="2"/>
  <c r="E355" i="2"/>
  <c r="G355" i="2"/>
  <c r="K355" i="2"/>
  <c r="B356" i="2"/>
  <c r="C356" i="2"/>
  <c r="E356" i="2"/>
  <c r="G356" i="2"/>
  <c r="K356" i="2"/>
  <c r="B357" i="2"/>
  <c r="C357" i="2"/>
  <c r="E357" i="2"/>
  <c r="G357" i="2"/>
  <c r="K357" i="2"/>
  <c r="B358" i="2"/>
  <c r="C358" i="2"/>
  <c r="E358" i="2"/>
  <c r="G358" i="2"/>
  <c r="K358" i="2"/>
  <c r="B359" i="2"/>
  <c r="C359" i="2"/>
  <c r="E359" i="2"/>
  <c r="G359" i="2"/>
  <c r="K359" i="2"/>
  <c r="B360" i="2"/>
  <c r="C360" i="2"/>
  <c r="E360" i="2"/>
  <c r="G360" i="2"/>
  <c r="K360" i="2"/>
  <c r="B361" i="2"/>
  <c r="C361" i="2"/>
  <c r="E361" i="2"/>
  <c r="G361" i="2"/>
  <c r="K361" i="2"/>
  <c r="B362" i="2"/>
  <c r="C362" i="2"/>
  <c r="E362" i="2"/>
  <c r="G362" i="2"/>
  <c r="K362" i="2"/>
  <c r="B363" i="2"/>
  <c r="C363" i="2"/>
  <c r="E363" i="2"/>
  <c r="G363" i="2"/>
  <c r="K363" i="2"/>
  <c r="B364" i="2"/>
  <c r="C364" i="2"/>
  <c r="E364" i="2"/>
  <c r="G364" i="2"/>
  <c r="K364" i="2"/>
  <c r="B365" i="2"/>
  <c r="C365" i="2"/>
  <c r="E365" i="2"/>
  <c r="G365" i="2"/>
  <c r="K365" i="2"/>
  <c r="B366" i="2"/>
  <c r="C366" i="2"/>
  <c r="E366" i="2"/>
  <c r="G366" i="2"/>
  <c r="K366" i="2"/>
  <c r="B367" i="2"/>
  <c r="C367" i="2"/>
  <c r="E367" i="2"/>
  <c r="G367" i="2"/>
  <c r="K367" i="2"/>
  <c r="B368" i="2"/>
  <c r="C368" i="2"/>
  <c r="E368" i="2"/>
  <c r="G368" i="2"/>
  <c r="K368" i="2"/>
  <c r="B369" i="2"/>
  <c r="C369" i="2"/>
  <c r="E369" i="2"/>
  <c r="G369" i="2"/>
  <c r="K369" i="2"/>
  <c r="B370" i="2"/>
  <c r="C370" i="2"/>
  <c r="E370" i="2"/>
  <c r="G370" i="2"/>
  <c r="K370" i="2"/>
  <c r="B371" i="2"/>
  <c r="C371" i="2"/>
  <c r="E371" i="2"/>
  <c r="G371" i="2"/>
  <c r="K371" i="2"/>
  <c r="B372" i="2"/>
  <c r="C372" i="2"/>
  <c r="E372" i="2"/>
  <c r="G372" i="2"/>
  <c r="K372" i="2"/>
  <c r="B373" i="2"/>
  <c r="C373" i="2"/>
  <c r="E373" i="2"/>
  <c r="G373" i="2"/>
  <c r="K373" i="2"/>
  <c r="B374" i="2"/>
  <c r="C374" i="2"/>
  <c r="E374" i="2"/>
  <c r="G374" i="2"/>
  <c r="K374" i="2"/>
  <c r="B375" i="2"/>
  <c r="C375" i="2"/>
  <c r="E375" i="2"/>
  <c r="G375" i="2"/>
  <c r="K375" i="2"/>
  <c r="B376" i="2"/>
  <c r="C376" i="2"/>
  <c r="E376" i="2"/>
  <c r="G376" i="2"/>
  <c r="K376" i="2"/>
  <c r="B377" i="2"/>
  <c r="C377" i="2"/>
  <c r="E377" i="2"/>
  <c r="G377" i="2"/>
  <c r="K377" i="2"/>
  <c r="B378" i="2"/>
  <c r="C378" i="2"/>
  <c r="E378" i="2"/>
  <c r="G378" i="2"/>
  <c r="K378" i="2"/>
  <c r="B379" i="2"/>
  <c r="C379" i="2"/>
  <c r="E379" i="2"/>
  <c r="G379" i="2"/>
  <c r="K379" i="2"/>
  <c r="B380" i="2"/>
  <c r="C380" i="2"/>
  <c r="E380" i="2"/>
  <c r="G380" i="2"/>
  <c r="K380" i="2"/>
  <c r="B381" i="2"/>
  <c r="C381" i="2"/>
  <c r="E381" i="2"/>
  <c r="G381" i="2"/>
  <c r="K381" i="2"/>
  <c r="B382" i="2"/>
  <c r="C382" i="2"/>
  <c r="E382" i="2"/>
  <c r="G382" i="2"/>
  <c r="K382" i="2"/>
  <c r="B383" i="2"/>
  <c r="C383" i="2"/>
  <c r="E383" i="2"/>
  <c r="G383" i="2"/>
  <c r="K383" i="2"/>
  <c r="B384" i="2"/>
  <c r="C384" i="2"/>
  <c r="E384" i="2"/>
  <c r="G384" i="2"/>
  <c r="K384" i="2"/>
  <c r="B385" i="2"/>
  <c r="C385" i="2"/>
  <c r="E385" i="2"/>
  <c r="G385" i="2"/>
  <c r="K385" i="2"/>
  <c r="B386" i="2"/>
  <c r="C386" i="2"/>
  <c r="E386" i="2"/>
  <c r="G386" i="2"/>
  <c r="K386" i="2"/>
  <c r="B387" i="2"/>
  <c r="C387" i="2"/>
  <c r="E387" i="2"/>
  <c r="G387" i="2"/>
  <c r="K387" i="2"/>
  <c r="B388" i="2"/>
  <c r="C388" i="2"/>
  <c r="E388" i="2"/>
  <c r="G388" i="2"/>
  <c r="K388" i="2"/>
  <c r="B389" i="2"/>
  <c r="C389" i="2"/>
  <c r="E389" i="2"/>
  <c r="G389" i="2"/>
  <c r="K389" i="2"/>
  <c r="B390" i="2"/>
  <c r="C390" i="2"/>
  <c r="E390" i="2"/>
  <c r="G390" i="2"/>
  <c r="K390" i="2"/>
  <c r="B391" i="2"/>
  <c r="C391" i="2"/>
  <c r="E391" i="2"/>
  <c r="G391" i="2"/>
  <c r="K391" i="2"/>
  <c r="B392" i="2"/>
  <c r="C392" i="2"/>
  <c r="E392" i="2"/>
  <c r="G392" i="2"/>
  <c r="K392" i="2"/>
  <c r="B393" i="2"/>
  <c r="C393" i="2"/>
  <c r="E393" i="2"/>
  <c r="G393" i="2"/>
  <c r="K393" i="2"/>
  <c r="B394" i="2"/>
  <c r="C394" i="2"/>
  <c r="E394" i="2"/>
  <c r="G394" i="2"/>
  <c r="K394" i="2"/>
  <c r="B395" i="2"/>
  <c r="C395" i="2"/>
  <c r="E395" i="2"/>
  <c r="G395" i="2"/>
  <c r="K395" i="2"/>
  <c r="B396" i="2"/>
  <c r="C396" i="2"/>
  <c r="E396" i="2"/>
  <c r="G396" i="2"/>
  <c r="K396" i="2"/>
  <c r="B397" i="2"/>
  <c r="C397" i="2"/>
  <c r="E397" i="2"/>
  <c r="G397" i="2"/>
  <c r="K397" i="2"/>
  <c r="B398" i="2"/>
  <c r="C398" i="2"/>
  <c r="E398" i="2"/>
  <c r="G398" i="2"/>
  <c r="K398" i="2"/>
  <c r="B399" i="2"/>
  <c r="C399" i="2"/>
  <c r="E399" i="2"/>
  <c r="G399" i="2"/>
  <c r="K399" i="2"/>
  <c r="B400" i="2"/>
  <c r="C400" i="2"/>
  <c r="E400" i="2"/>
  <c r="G400" i="2"/>
  <c r="K400" i="2"/>
  <c r="B401" i="2"/>
  <c r="C401" i="2"/>
  <c r="E401" i="2"/>
  <c r="G401" i="2"/>
  <c r="K401" i="2"/>
  <c r="B402" i="2"/>
  <c r="C402" i="2"/>
  <c r="E402" i="2"/>
  <c r="G402" i="2"/>
  <c r="K402" i="2"/>
  <c r="B403" i="2"/>
  <c r="C403" i="2"/>
  <c r="E403" i="2"/>
  <c r="G403" i="2"/>
  <c r="K403" i="2"/>
  <c r="B404" i="2"/>
  <c r="C404" i="2"/>
  <c r="E404" i="2"/>
  <c r="G404" i="2"/>
  <c r="K404" i="2"/>
  <c r="B405" i="2"/>
  <c r="C405" i="2"/>
  <c r="E405" i="2"/>
  <c r="G405" i="2"/>
  <c r="K405" i="2"/>
  <c r="B406" i="2"/>
  <c r="C406" i="2"/>
  <c r="E406" i="2"/>
  <c r="G406" i="2"/>
  <c r="K406" i="2"/>
  <c r="B407" i="2"/>
  <c r="C407" i="2"/>
  <c r="E407" i="2"/>
  <c r="G407" i="2"/>
  <c r="K407" i="2"/>
  <c r="B408" i="2"/>
  <c r="C408" i="2"/>
  <c r="E408" i="2"/>
  <c r="G408" i="2"/>
  <c r="K408" i="2"/>
  <c r="B409" i="2"/>
  <c r="C409" i="2"/>
  <c r="E409" i="2"/>
  <c r="G409" i="2"/>
  <c r="K409" i="2"/>
  <c r="B410" i="2"/>
  <c r="C410" i="2"/>
  <c r="E410" i="2"/>
  <c r="G410" i="2"/>
  <c r="K410" i="2"/>
  <c r="B411" i="2"/>
  <c r="C411" i="2"/>
  <c r="E411" i="2"/>
  <c r="G411" i="2"/>
  <c r="K411" i="2"/>
  <c r="B412" i="2"/>
  <c r="C412" i="2"/>
  <c r="E412" i="2"/>
  <c r="G412" i="2"/>
  <c r="K412" i="2"/>
  <c r="B413" i="2"/>
  <c r="C413" i="2"/>
  <c r="E413" i="2"/>
  <c r="G413" i="2"/>
  <c r="K413" i="2"/>
  <c r="B414" i="2"/>
  <c r="C414" i="2"/>
  <c r="E414" i="2"/>
  <c r="G414" i="2"/>
  <c r="K414" i="2"/>
  <c r="B415" i="2"/>
  <c r="C415" i="2"/>
  <c r="E415" i="2"/>
  <c r="G415" i="2"/>
  <c r="K415" i="2"/>
  <c r="B416" i="2"/>
  <c r="C416" i="2"/>
  <c r="E416" i="2"/>
  <c r="G416" i="2"/>
  <c r="K416" i="2"/>
  <c r="B417" i="2"/>
  <c r="C417" i="2"/>
  <c r="E417" i="2"/>
  <c r="G417" i="2"/>
  <c r="K417" i="2"/>
  <c r="B418" i="2"/>
  <c r="C418" i="2"/>
  <c r="E418" i="2"/>
  <c r="G418" i="2"/>
  <c r="K418" i="2"/>
  <c r="B419" i="2"/>
  <c r="C419" i="2"/>
  <c r="E419" i="2"/>
  <c r="G419" i="2"/>
  <c r="K419" i="2"/>
  <c r="B420" i="2"/>
  <c r="C420" i="2"/>
  <c r="E420" i="2"/>
  <c r="G420" i="2"/>
  <c r="K420" i="2"/>
  <c r="B421" i="2"/>
  <c r="C421" i="2"/>
  <c r="E421" i="2"/>
  <c r="G421" i="2"/>
  <c r="K421" i="2"/>
  <c r="B422" i="2"/>
  <c r="C422" i="2"/>
  <c r="E422" i="2"/>
  <c r="G422" i="2"/>
  <c r="K422" i="2"/>
  <c r="B423" i="2"/>
  <c r="C423" i="2"/>
  <c r="E423" i="2"/>
  <c r="G423" i="2"/>
  <c r="K423" i="2"/>
  <c r="B424" i="2"/>
  <c r="C424" i="2"/>
  <c r="E424" i="2"/>
  <c r="G424" i="2"/>
  <c r="K424" i="2"/>
  <c r="B425" i="2"/>
  <c r="C425" i="2"/>
  <c r="E425" i="2"/>
  <c r="G425" i="2"/>
  <c r="K425" i="2"/>
  <c r="B426" i="2"/>
  <c r="C426" i="2"/>
  <c r="E426" i="2"/>
  <c r="G426" i="2"/>
  <c r="K426" i="2"/>
  <c r="B427" i="2"/>
  <c r="C427" i="2"/>
  <c r="E427" i="2"/>
  <c r="G427" i="2"/>
  <c r="K427" i="2"/>
  <c r="B428" i="2"/>
  <c r="C428" i="2"/>
  <c r="E428" i="2"/>
  <c r="G428" i="2"/>
  <c r="K428" i="2"/>
  <c r="B429" i="2"/>
  <c r="C429" i="2"/>
  <c r="E429" i="2"/>
  <c r="G429" i="2"/>
  <c r="K429" i="2"/>
  <c r="B430" i="2"/>
  <c r="C430" i="2"/>
  <c r="E430" i="2"/>
  <c r="G430" i="2"/>
  <c r="K430" i="2"/>
  <c r="B431" i="2"/>
  <c r="C431" i="2"/>
  <c r="E431" i="2"/>
  <c r="G431" i="2"/>
  <c r="K431" i="2"/>
  <c r="B432" i="2"/>
  <c r="C432" i="2"/>
  <c r="E432" i="2"/>
  <c r="G432" i="2"/>
  <c r="K432" i="2"/>
  <c r="B433" i="2"/>
  <c r="C433" i="2"/>
  <c r="E433" i="2"/>
  <c r="G433" i="2"/>
  <c r="K433" i="2"/>
  <c r="B434" i="2"/>
  <c r="C434" i="2"/>
  <c r="E434" i="2"/>
  <c r="G434" i="2"/>
  <c r="K434" i="2"/>
  <c r="B435" i="2"/>
  <c r="C435" i="2"/>
  <c r="E435" i="2"/>
  <c r="G435" i="2"/>
  <c r="K435" i="2"/>
  <c r="B436" i="2"/>
  <c r="C436" i="2"/>
  <c r="E436" i="2"/>
  <c r="G436" i="2"/>
  <c r="K436" i="2"/>
  <c r="B437" i="2"/>
  <c r="C437" i="2"/>
  <c r="E437" i="2"/>
  <c r="G437" i="2"/>
  <c r="K437" i="2"/>
  <c r="B438" i="2"/>
  <c r="C438" i="2"/>
  <c r="E438" i="2"/>
  <c r="G438" i="2"/>
  <c r="K438" i="2"/>
  <c r="B439" i="2"/>
  <c r="C439" i="2"/>
  <c r="E439" i="2"/>
  <c r="G439" i="2"/>
  <c r="K439" i="2"/>
  <c r="B440" i="2"/>
  <c r="C440" i="2"/>
  <c r="E440" i="2"/>
  <c r="G440" i="2"/>
  <c r="K440" i="2"/>
  <c r="B441" i="2"/>
  <c r="C441" i="2"/>
  <c r="E441" i="2"/>
  <c r="G441" i="2"/>
  <c r="K441" i="2"/>
  <c r="B442" i="2"/>
  <c r="C442" i="2"/>
  <c r="E442" i="2"/>
  <c r="G442" i="2"/>
  <c r="K442" i="2"/>
  <c r="B443" i="2"/>
  <c r="C443" i="2"/>
  <c r="E443" i="2"/>
  <c r="G443" i="2"/>
  <c r="K443" i="2"/>
  <c r="B444" i="2"/>
  <c r="C444" i="2"/>
  <c r="E444" i="2"/>
  <c r="G444" i="2"/>
  <c r="K444" i="2"/>
  <c r="B445" i="2"/>
  <c r="C445" i="2"/>
  <c r="E445" i="2"/>
  <c r="G445" i="2"/>
  <c r="K445" i="2"/>
  <c r="B446" i="2"/>
  <c r="C446" i="2"/>
  <c r="E446" i="2"/>
  <c r="G446" i="2"/>
  <c r="K446" i="2"/>
  <c r="B447" i="2"/>
  <c r="C447" i="2"/>
  <c r="E447" i="2"/>
  <c r="G447" i="2"/>
  <c r="K447" i="2"/>
  <c r="B448" i="2"/>
  <c r="C448" i="2"/>
  <c r="E448" i="2"/>
  <c r="G448" i="2"/>
  <c r="K448" i="2"/>
  <c r="B449" i="2"/>
  <c r="C449" i="2"/>
  <c r="E449" i="2"/>
  <c r="G449" i="2"/>
  <c r="K449" i="2"/>
  <c r="B450" i="2"/>
  <c r="C450" i="2"/>
  <c r="E450" i="2"/>
  <c r="G450" i="2"/>
  <c r="K450" i="2"/>
  <c r="B451" i="2"/>
  <c r="C451" i="2"/>
  <c r="E451" i="2"/>
  <c r="G451" i="2"/>
  <c r="K451" i="2"/>
  <c r="B452" i="2"/>
  <c r="C452" i="2"/>
  <c r="E452" i="2"/>
  <c r="G452" i="2"/>
  <c r="K452" i="2"/>
  <c r="B453" i="2"/>
  <c r="C453" i="2"/>
  <c r="E453" i="2"/>
  <c r="G453" i="2"/>
  <c r="K453" i="2"/>
  <c r="B454" i="2"/>
  <c r="C454" i="2"/>
  <c r="E454" i="2"/>
  <c r="G454" i="2"/>
  <c r="K454" i="2"/>
  <c r="B455" i="2"/>
  <c r="C455" i="2"/>
  <c r="E455" i="2"/>
  <c r="G455" i="2"/>
  <c r="K455" i="2"/>
  <c r="B456" i="2"/>
  <c r="C456" i="2"/>
  <c r="E456" i="2"/>
  <c r="G456" i="2"/>
  <c r="K456" i="2"/>
  <c r="B457" i="2"/>
  <c r="C457" i="2"/>
  <c r="E457" i="2"/>
  <c r="G457" i="2"/>
  <c r="K457" i="2"/>
  <c r="B458" i="2"/>
  <c r="C458" i="2"/>
  <c r="E458" i="2"/>
  <c r="G458" i="2"/>
  <c r="K458" i="2"/>
  <c r="B459" i="2"/>
  <c r="C459" i="2"/>
  <c r="E459" i="2"/>
  <c r="G459" i="2"/>
  <c r="K459" i="2"/>
  <c r="B460" i="2"/>
  <c r="C460" i="2"/>
  <c r="E460" i="2"/>
  <c r="G460" i="2"/>
  <c r="K460" i="2"/>
  <c r="B461" i="2"/>
  <c r="C461" i="2"/>
  <c r="E461" i="2"/>
  <c r="G461" i="2"/>
  <c r="K461" i="2"/>
  <c r="B462" i="2"/>
  <c r="C462" i="2"/>
  <c r="E462" i="2"/>
  <c r="G462" i="2"/>
  <c r="K462" i="2"/>
  <c r="B463" i="2"/>
  <c r="C463" i="2"/>
  <c r="E463" i="2"/>
  <c r="G463" i="2"/>
  <c r="K463" i="2"/>
  <c r="B464" i="2"/>
  <c r="C464" i="2"/>
  <c r="E464" i="2"/>
  <c r="G464" i="2"/>
  <c r="K464" i="2"/>
  <c r="B465" i="2"/>
  <c r="C465" i="2"/>
  <c r="E465" i="2"/>
  <c r="G465" i="2"/>
  <c r="K465" i="2"/>
  <c r="B466" i="2"/>
  <c r="C466" i="2"/>
  <c r="E466" i="2"/>
  <c r="G466" i="2"/>
  <c r="K466" i="2"/>
  <c r="B467" i="2"/>
  <c r="C467" i="2"/>
  <c r="E467" i="2"/>
  <c r="G467" i="2"/>
  <c r="K467" i="2"/>
  <c r="B468" i="2"/>
  <c r="C468" i="2"/>
  <c r="E468" i="2"/>
  <c r="G468" i="2"/>
  <c r="K468" i="2"/>
  <c r="B469" i="2"/>
  <c r="C469" i="2"/>
  <c r="E469" i="2"/>
  <c r="G469" i="2"/>
  <c r="K469" i="2"/>
  <c r="B470" i="2"/>
  <c r="C470" i="2"/>
  <c r="E470" i="2"/>
  <c r="G470" i="2"/>
  <c r="K470" i="2"/>
  <c r="B471" i="2"/>
  <c r="C471" i="2"/>
  <c r="E471" i="2"/>
  <c r="G471" i="2"/>
  <c r="K471" i="2"/>
  <c r="B472" i="2"/>
  <c r="C472" i="2"/>
  <c r="E472" i="2"/>
  <c r="G472" i="2"/>
  <c r="K472" i="2"/>
  <c r="B473" i="2"/>
  <c r="C473" i="2"/>
  <c r="E473" i="2"/>
  <c r="G473" i="2"/>
  <c r="K473" i="2"/>
  <c r="B474" i="2"/>
  <c r="C474" i="2"/>
  <c r="E474" i="2"/>
  <c r="G474" i="2"/>
  <c r="K474" i="2"/>
  <c r="B475" i="2"/>
  <c r="C475" i="2"/>
  <c r="E475" i="2"/>
  <c r="G475" i="2"/>
  <c r="K475" i="2"/>
  <c r="B476" i="2"/>
  <c r="C476" i="2"/>
  <c r="E476" i="2"/>
  <c r="G476" i="2"/>
  <c r="K476" i="2"/>
  <c r="B477" i="2"/>
  <c r="C477" i="2"/>
  <c r="E477" i="2"/>
  <c r="G477" i="2"/>
  <c r="K477" i="2"/>
  <c r="B478" i="2"/>
  <c r="C478" i="2"/>
  <c r="E478" i="2"/>
  <c r="G478" i="2"/>
  <c r="K478" i="2"/>
  <c r="B479" i="2"/>
  <c r="C479" i="2"/>
  <c r="E479" i="2"/>
  <c r="G479" i="2"/>
  <c r="K479" i="2"/>
  <c r="B480" i="2"/>
  <c r="C480" i="2"/>
  <c r="E480" i="2"/>
  <c r="G480" i="2"/>
  <c r="K480" i="2"/>
  <c r="B481" i="2"/>
  <c r="C481" i="2"/>
  <c r="E481" i="2"/>
  <c r="G481" i="2"/>
  <c r="K481" i="2"/>
  <c r="B482" i="2"/>
  <c r="C482" i="2"/>
  <c r="E482" i="2"/>
  <c r="G482" i="2"/>
  <c r="K482" i="2"/>
  <c r="B483" i="2"/>
  <c r="C483" i="2"/>
  <c r="E483" i="2"/>
  <c r="G483" i="2"/>
  <c r="K483" i="2"/>
  <c r="B484" i="2"/>
  <c r="C484" i="2"/>
  <c r="E484" i="2"/>
  <c r="G484" i="2"/>
  <c r="K484" i="2"/>
  <c r="B485" i="2"/>
  <c r="C485" i="2"/>
  <c r="E485" i="2"/>
  <c r="G485" i="2"/>
  <c r="K485" i="2"/>
  <c r="B486" i="2"/>
  <c r="C486" i="2"/>
  <c r="E486" i="2"/>
  <c r="G486" i="2"/>
  <c r="K486" i="2"/>
  <c r="B487" i="2"/>
  <c r="C487" i="2"/>
  <c r="E487" i="2"/>
  <c r="G487" i="2"/>
  <c r="K487" i="2"/>
  <c r="B488" i="2"/>
  <c r="C488" i="2"/>
  <c r="E488" i="2"/>
  <c r="G488" i="2"/>
  <c r="K488" i="2"/>
  <c r="B489" i="2"/>
  <c r="C489" i="2"/>
  <c r="E489" i="2"/>
  <c r="G489" i="2"/>
  <c r="K489" i="2"/>
  <c r="B490" i="2"/>
  <c r="C490" i="2"/>
  <c r="E490" i="2"/>
  <c r="G490" i="2"/>
  <c r="K490" i="2"/>
  <c r="B491" i="2"/>
  <c r="C491" i="2"/>
  <c r="E491" i="2"/>
  <c r="G491" i="2"/>
  <c r="K491" i="2"/>
  <c r="B492" i="2"/>
  <c r="C492" i="2"/>
  <c r="E492" i="2"/>
  <c r="G492" i="2"/>
  <c r="K492" i="2"/>
  <c r="B493" i="2"/>
  <c r="C493" i="2"/>
  <c r="E493" i="2"/>
  <c r="G493" i="2"/>
  <c r="K493" i="2"/>
  <c r="B494" i="2"/>
  <c r="C494" i="2"/>
  <c r="E494" i="2"/>
  <c r="G494" i="2"/>
  <c r="K494" i="2"/>
  <c r="B495" i="2"/>
  <c r="C495" i="2"/>
  <c r="E495" i="2"/>
  <c r="G495" i="2"/>
  <c r="K495" i="2"/>
  <c r="B496" i="2"/>
  <c r="C496" i="2"/>
  <c r="E496" i="2"/>
  <c r="G496" i="2"/>
  <c r="K496" i="2"/>
  <c r="B497" i="2"/>
  <c r="C497" i="2"/>
  <c r="E497" i="2"/>
  <c r="G497" i="2"/>
  <c r="K497" i="2"/>
  <c r="B498" i="2"/>
  <c r="C498" i="2"/>
  <c r="E498" i="2"/>
  <c r="G498" i="2"/>
  <c r="K498" i="2"/>
  <c r="B499" i="2"/>
  <c r="C499" i="2"/>
  <c r="E499" i="2"/>
  <c r="G499" i="2"/>
  <c r="K499" i="2"/>
  <c r="B500" i="2"/>
  <c r="C500" i="2"/>
  <c r="E500" i="2"/>
  <c r="G500" i="2"/>
  <c r="K500" i="2"/>
  <c r="B501" i="2"/>
  <c r="C501" i="2"/>
  <c r="E501" i="2"/>
  <c r="G501" i="2"/>
  <c r="K501" i="2"/>
  <c r="B502" i="2"/>
  <c r="C502" i="2"/>
  <c r="E502" i="2"/>
  <c r="G502" i="2"/>
  <c r="K502" i="2"/>
  <c r="B503" i="2"/>
  <c r="C503" i="2"/>
  <c r="E503" i="2"/>
  <c r="G503" i="2"/>
  <c r="K503" i="2"/>
  <c r="B504" i="2"/>
  <c r="C504" i="2"/>
  <c r="E504" i="2"/>
  <c r="G504" i="2"/>
  <c r="K504" i="2"/>
  <c r="B505" i="2"/>
  <c r="C505" i="2"/>
  <c r="E505" i="2"/>
  <c r="G505" i="2"/>
  <c r="K505" i="2"/>
  <c r="B506" i="2"/>
  <c r="C506" i="2"/>
  <c r="E506" i="2"/>
  <c r="G506" i="2"/>
  <c r="K506" i="2"/>
  <c r="B507" i="2"/>
  <c r="C507" i="2"/>
  <c r="E507" i="2"/>
  <c r="G507" i="2"/>
  <c r="K507" i="2"/>
  <c r="B508" i="2"/>
  <c r="C508" i="2"/>
  <c r="E508" i="2"/>
  <c r="G508" i="2"/>
  <c r="K508" i="2"/>
  <c r="B509" i="2"/>
  <c r="C509" i="2"/>
  <c r="E509" i="2"/>
  <c r="G509" i="2"/>
  <c r="K509" i="2"/>
  <c r="B510" i="2"/>
  <c r="C510" i="2"/>
  <c r="E510" i="2"/>
  <c r="G510" i="2"/>
  <c r="K510" i="2"/>
  <c r="B511" i="2"/>
  <c r="C511" i="2"/>
  <c r="E511" i="2"/>
  <c r="G511" i="2"/>
  <c r="K511" i="2"/>
  <c r="B512" i="2"/>
  <c r="C512" i="2"/>
  <c r="E512" i="2"/>
  <c r="G512" i="2"/>
  <c r="K512" i="2"/>
  <c r="B513" i="2"/>
  <c r="C513" i="2"/>
  <c r="E513" i="2"/>
  <c r="G513" i="2"/>
  <c r="K513" i="2"/>
  <c r="B514" i="2"/>
  <c r="C514" i="2"/>
  <c r="E514" i="2"/>
  <c r="G514" i="2"/>
  <c r="K514" i="2"/>
  <c r="B515" i="2"/>
  <c r="C515" i="2"/>
  <c r="E515" i="2"/>
  <c r="G515" i="2"/>
  <c r="K515" i="2"/>
  <c r="B516" i="2"/>
  <c r="C516" i="2"/>
  <c r="E516" i="2"/>
  <c r="G516" i="2"/>
  <c r="K516" i="2"/>
  <c r="B517" i="2"/>
  <c r="C517" i="2"/>
  <c r="E517" i="2"/>
  <c r="G517" i="2"/>
  <c r="K517" i="2"/>
  <c r="B518" i="2"/>
  <c r="C518" i="2"/>
  <c r="E518" i="2"/>
  <c r="G518" i="2"/>
  <c r="K518" i="2"/>
  <c r="B519" i="2"/>
  <c r="C519" i="2"/>
  <c r="E519" i="2"/>
  <c r="G519" i="2"/>
  <c r="K519" i="2"/>
  <c r="B520" i="2"/>
  <c r="C520" i="2"/>
  <c r="E520" i="2"/>
  <c r="G520" i="2"/>
  <c r="K520" i="2"/>
  <c r="B521" i="2"/>
  <c r="C521" i="2"/>
  <c r="E521" i="2"/>
  <c r="G521" i="2"/>
  <c r="K521" i="2"/>
  <c r="B522" i="2"/>
  <c r="C522" i="2"/>
  <c r="E522" i="2"/>
  <c r="G522" i="2"/>
  <c r="K522" i="2"/>
  <c r="B523" i="2"/>
  <c r="C523" i="2"/>
  <c r="E523" i="2"/>
  <c r="G523" i="2"/>
  <c r="K523" i="2"/>
  <c r="B524" i="2"/>
  <c r="C524" i="2"/>
  <c r="E524" i="2"/>
  <c r="G524" i="2"/>
  <c r="K524" i="2"/>
  <c r="B525" i="2"/>
  <c r="C525" i="2"/>
  <c r="E525" i="2"/>
  <c r="G525" i="2"/>
  <c r="K525" i="2"/>
  <c r="B526" i="2"/>
  <c r="C526" i="2"/>
  <c r="E526" i="2"/>
  <c r="G526" i="2"/>
  <c r="K526" i="2"/>
  <c r="B527" i="2"/>
  <c r="C527" i="2"/>
  <c r="E527" i="2"/>
  <c r="G527" i="2"/>
  <c r="K527" i="2"/>
  <c r="B528" i="2"/>
  <c r="C528" i="2"/>
  <c r="E528" i="2"/>
  <c r="G528" i="2"/>
  <c r="K528" i="2"/>
  <c r="B529" i="2"/>
  <c r="C529" i="2"/>
  <c r="E529" i="2"/>
  <c r="G529" i="2"/>
  <c r="K529" i="2"/>
  <c r="B530" i="2"/>
  <c r="C530" i="2"/>
  <c r="E530" i="2"/>
  <c r="G530" i="2"/>
  <c r="K530" i="2"/>
  <c r="B531" i="2"/>
  <c r="C531" i="2"/>
  <c r="E531" i="2"/>
  <c r="G531" i="2"/>
  <c r="K531" i="2"/>
  <c r="B532" i="2"/>
  <c r="C532" i="2"/>
  <c r="E532" i="2"/>
  <c r="G532" i="2"/>
  <c r="K532" i="2"/>
  <c r="B533" i="2"/>
  <c r="C533" i="2"/>
  <c r="E533" i="2"/>
  <c r="G533" i="2"/>
  <c r="K533" i="2"/>
  <c r="B534" i="2"/>
  <c r="C534" i="2"/>
  <c r="E534" i="2"/>
  <c r="G534" i="2"/>
  <c r="K534" i="2"/>
  <c r="B535" i="2"/>
  <c r="C535" i="2"/>
  <c r="E535" i="2"/>
  <c r="G535" i="2"/>
  <c r="K535" i="2"/>
  <c r="B536" i="2"/>
  <c r="C536" i="2"/>
  <c r="E536" i="2"/>
  <c r="G536" i="2"/>
  <c r="K536" i="2"/>
  <c r="B537" i="2"/>
  <c r="C537" i="2"/>
  <c r="E537" i="2"/>
  <c r="G537" i="2"/>
  <c r="K537" i="2"/>
  <c r="B538" i="2"/>
  <c r="C538" i="2"/>
  <c r="E538" i="2"/>
  <c r="G538" i="2"/>
  <c r="K538" i="2"/>
  <c r="B539" i="2"/>
  <c r="C539" i="2"/>
  <c r="E539" i="2"/>
  <c r="G539" i="2"/>
  <c r="K539" i="2"/>
  <c r="B540" i="2"/>
  <c r="C540" i="2"/>
  <c r="E540" i="2"/>
  <c r="G540" i="2"/>
  <c r="K540" i="2"/>
  <c r="B541" i="2"/>
  <c r="C541" i="2"/>
  <c r="E541" i="2"/>
  <c r="G541" i="2"/>
  <c r="K541" i="2"/>
  <c r="B542" i="2"/>
  <c r="C542" i="2"/>
  <c r="E542" i="2"/>
  <c r="G542" i="2"/>
  <c r="K542" i="2"/>
  <c r="B543" i="2"/>
  <c r="C543" i="2"/>
  <c r="E543" i="2"/>
  <c r="G543" i="2"/>
  <c r="K543" i="2"/>
  <c r="B544" i="2"/>
  <c r="C544" i="2"/>
  <c r="E544" i="2"/>
  <c r="G544" i="2"/>
  <c r="K544" i="2"/>
  <c r="B545" i="2"/>
  <c r="C545" i="2"/>
  <c r="E545" i="2"/>
  <c r="G545" i="2"/>
  <c r="K545" i="2"/>
  <c r="B546" i="2"/>
  <c r="C546" i="2"/>
  <c r="E546" i="2"/>
  <c r="G546" i="2"/>
  <c r="K546" i="2"/>
  <c r="B547" i="2"/>
  <c r="C547" i="2"/>
  <c r="E547" i="2"/>
  <c r="G547" i="2"/>
  <c r="K547" i="2"/>
  <c r="B548" i="2"/>
  <c r="C548" i="2"/>
  <c r="E548" i="2"/>
  <c r="G548" i="2"/>
  <c r="K548" i="2"/>
  <c r="B549" i="2"/>
  <c r="C549" i="2"/>
  <c r="E549" i="2"/>
  <c r="G549" i="2"/>
  <c r="K549" i="2"/>
  <c r="B550" i="2"/>
  <c r="C550" i="2"/>
  <c r="E550" i="2"/>
  <c r="G550" i="2"/>
  <c r="K550" i="2"/>
  <c r="B551" i="2"/>
  <c r="C551" i="2"/>
  <c r="E551" i="2"/>
  <c r="G551" i="2"/>
  <c r="K551" i="2"/>
  <c r="B552" i="2"/>
  <c r="C552" i="2"/>
  <c r="E552" i="2"/>
  <c r="G552" i="2"/>
  <c r="K552" i="2"/>
  <c r="B553" i="2"/>
  <c r="C553" i="2"/>
  <c r="E553" i="2"/>
  <c r="G553" i="2"/>
  <c r="K553" i="2"/>
  <c r="B554" i="2"/>
  <c r="C554" i="2"/>
  <c r="E554" i="2"/>
  <c r="G554" i="2"/>
  <c r="K554" i="2"/>
  <c r="B555" i="2"/>
  <c r="C555" i="2"/>
  <c r="E555" i="2"/>
  <c r="G555" i="2"/>
  <c r="K555" i="2"/>
  <c r="B556" i="2"/>
  <c r="C556" i="2"/>
  <c r="E556" i="2"/>
  <c r="G556" i="2"/>
  <c r="K556" i="2"/>
  <c r="B557" i="2"/>
  <c r="C557" i="2"/>
  <c r="E557" i="2"/>
  <c r="G557" i="2"/>
  <c r="K557" i="2"/>
  <c r="B558" i="2"/>
  <c r="C558" i="2"/>
  <c r="E558" i="2"/>
  <c r="G558" i="2"/>
  <c r="K558" i="2"/>
  <c r="B559" i="2"/>
  <c r="C559" i="2"/>
  <c r="E559" i="2"/>
  <c r="G559" i="2"/>
  <c r="K559" i="2"/>
  <c r="B560" i="2"/>
  <c r="C560" i="2"/>
  <c r="E560" i="2"/>
  <c r="G560" i="2"/>
  <c r="K560" i="2"/>
  <c r="B561" i="2"/>
  <c r="C561" i="2"/>
  <c r="E561" i="2"/>
  <c r="G561" i="2"/>
  <c r="K561" i="2"/>
  <c r="B562" i="2"/>
  <c r="C562" i="2"/>
  <c r="E562" i="2"/>
  <c r="G562" i="2"/>
  <c r="K562" i="2"/>
  <c r="B563" i="2"/>
  <c r="C563" i="2"/>
  <c r="E563" i="2"/>
  <c r="G563" i="2"/>
  <c r="K563" i="2"/>
  <c r="B564" i="2"/>
  <c r="C564" i="2"/>
  <c r="E564" i="2"/>
  <c r="G564" i="2"/>
  <c r="K564" i="2"/>
  <c r="B565" i="2"/>
  <c r="C565" i="2"/>
  <c r="E565" i="2"/>
  <c r="G565" i="2"/>
  <c r="K565" i="2"/>
  <c r="B566" i="2"/>
  <c r="C566" i="2"/>
  <c r="E566" i="2"/>
  <c r="G566" i="2"/>
  <c r="K566" i="2"/>
  <c r="B567" i="2"/>
  <c r="C567" i="2"/>
  <c r="E567" i="2"/>
  <c r="G567" i="2"/>
  <c r="K567" i="2"/>
  <c r="B568" i="2"/>
  <c r="C568" i="2"/>
  <c r="E568" i="2"/>
  <c r="G568" i="2"/>
  <c r="K568" i="2"/>
  <c r="B569" i="2"/>
  <c r="C569" i="2"/>
  <c r="E569" i="2"/>
  <c r="G569" i="2"/>
  <c r="K569" i="2"/>
  <c r="B570" i="2"/>
  <c r="C570" i="2"/>
  <c r="E570" i="2"/>
  <c r="G570" i="2"/>
  <c r="K570" i="2"/>
  <c r="B571" i="2"/>
  <c r="C571" i="2"/>
  <c r="E571" i="2"/>
  <c r="G571" i="2"/>
  <c r="K571" i="2"/>
  <c r="B572" i="2"/>
  <c r="C572" i="2"/>
  <c r="E572" i="2"/>
  <c r="G572" i="2"/>
  <c r="K572" i="2"/>
  <c r="B573" i="2"/>
  <c r="C573" i="2"/>
  <c r="E573" i="2"/>
  <c r="G573" i="2"/>
  <c r="K573" i="2"/>
  <c r="B574" i="2"/>
  <c r="C574" i="2"/>
  <c r="E574" i="2"/>
  <c r="G574" i="2"/>
  <c r="K574" i="2"/>
  <c r="B575" i="2"/>
  <c r="C575" i="2"/>
  <c r="E575" i="2"/>
  <c r="G575" i="2"/>
  <c r="K575" i="2"/>
  <c r="B576" i="2"/>
  <c r="C576" i="2"/>
  <c r="E576" i="2"/>
  <c r="G576" i="2"/>
  <c r="K576" i="2"/>
  <c r="B577" i="2"/>
  <c r="C577" i="2"/>
  <c r="E577" i="2"/>
  <c r="G577" i="2"/>
  <c r="K577" i="2"/>
  <c r="B578" i="2"/>
  <c r="C578" i="2"/>
  <c r="E578" i="2"/>
  <c r="G578" i="2"/>
  <c r="K578" i="2"/>
  <c r="B579" i="2"/>
  <c r="C579" i="2"/>
  <c r="E579" i="2"/>
  <c r="G579" i="2"/>
  <c r="K579" i="2"/>
  <c r="B580" i="2"/>
  <c r="C580" i="2"/>
  <c r="E580" i="2"/>
  <c r="G580" i="2"/>
  <c r="K580" i="2"/>
  <c r="B581" i="2"/>
  <c r="C581" i="2"/>
  <c r="E581" i="2"/>
  <c r="G581" i="2"/>
  <c r="K581" i="2"/>
  <c r="B582" i="2"/>
  <c r="C582" i="2"/>
  <c r="E582" i="2"/>
  <c r="G582" i="2"/>
  <c r="K582" i="2"/>
  <c r="B583" i="2"/>
  <c r="C583" i="2"/>
  <c r="E583" i="2"/>
  <c r="G583" i="2"/>
  <c r="K583" i="2"/>
  <c r="B584" i="2"/>
  <c r="C584" i="2"/>
  <c r="E584" i="2"/>
  <c r="G584" i="2"/>
  <c r="K584" i="2"/>
  <c r="B585" i="2"/>
  <c r="C585" i="2"/>
  <c r="E585" i="2"/>
  <c r="G585" i="2"/>
  <c r="K585" i="2"/>
  <c r="B586" i="2"/>
  <c r="C586" i="2"/>
  <c r="E586" i="2"/>
  <c r="G586" i="2"/>
  <c r="K586" i="2"/>
  <c r="B587" i="2"/>
  <c r="C587" i="2"/>
  <c r="E587" i="2"/>
  <c r="G587" i="2"/>
  <c r="K587" i="2"/>
  <c r="B588" i="2"/>
  <c r="C588" i="2"/>
  <c r="E588" i="2"/>
  <c r="G588" i="2"/>
  <c r="K588" i="2"/>
  <c r="B589" i="2"/>
  <c r="C589" i="2"/>
  <c r="E589" i="2"/>
  <c r="G589" i="2"/>
  <c r="K589" i="2"/>
  <c r="B590" i="2"/>
  <c r="C590" i="2"/>
  <c r="E590" i="2"/>
  <c r="G590" i="2"/>
  <c r="K590" i="2"/>
  <c r="B591" i="2"/>
  <c r="C591" i="2"/>
  <c r="E591" i="2"/>
  <c r="G591" i="2"/>
  <c r="K591" i="2"/>
  <c r="B592" i="2"/>
  <c r="C592" i="2"/>
  <c r="E592" i="2"/>
  <c r="G592" i="2"/>
  <c r="K592" i="2"/>
  <c r="B593" i="2"/>
  <c r="C593" i="2"/>
  <c r="E593" i="2"/>
  <c r="G593" i="2"/>
  <c r="K593" i="2"/>
  <c r="B594" i="2"/>
  <c r="C594" i="2"/>
  <c r="E594" i="2"/>
  <c r="G594" i="2"/>
  <c r="K594" i="2"/>
  <c r="B595" i="2"/>
  <c r="C595" i="2"/>
  <c r="E595" i="2"/>
  <c r="G595" i="2"/>
  <c r="K595" i="2"/>
  <c r="B596" i="2"/>
  <c r="C596" i="2"/>
  <c r="E596" i="2"/>
  <c r="G596" i="2"/>
  <c r="K596" i="2"/>
  <c r="B597" i="2"/>
  <c r="C597" i="2"/>
  <c r="E597" i="2"/>
  <c r="G597" i="2"/>
  <c r="K597" i="2"/>
  <c r="B598" i="2"/>
  <c r="C598" i="2"/>
  <c r="E598" i="2"/>
  <c r="G598" i="2"/>
  <c r="K598" i="2"/>
  <c r="B599" i="2"/>
  <c r="C599" i="2"/>
  <c r="E599" i="2"/>
  <c r="G599" i="2"/>
  <c r="K599" i="2"/>
  <c r="B600" i="2"/>
  <c r="C600" i="2"/>
  <c r="E600" i="2"/>
  <c r="G600" i="2"/>
  <c r="K600" i="2"/>
  <c r="B601" i="2"/>
  <c r="C601" i="2"/>
  <c r="E601" i="2"/>
  <c r="G601" i="2"/>
  <c r="K601" i="2"/>
  <c r="B602" i="2"/>
  <c r="C602" i="2"/>
  <c r="E602" i="2"/>
  <c r="G602" i="2"/>
  <c r="K602" i="2"/>
  <c r="B603" i="2"/>
  <c r="C603" i="2"/>
  <c r="E603" i="2"/>
  <c r="G603" i="2"/>
  <c r="K603" i="2"/>
  <c r="B604" i="2"/>
  <c r="C604" i="2"/>
  <c r="E604" i="2"/>
  <c r="G604" i="2"/>
  <c r="K604" i="2"/>
  <c r="B605" i="2"/>
  <c r="C605" i="2"/>
  <c r="E605" i="2"/>
  <c r="G605" i="2"/>
  <c r="K605" i="2"/>
  <c r="B606" i="2"/>
  <c r="C606" i="2"/>
  <c r="E606" i="2"/>
  <c r="G606" i="2"/>
  <c r="K606" i="2"/>
</calcChain>
</file>

<file path=xl/sharedStrings.xml><?xml version="1.0" encoding="utf-8"?>
<sst xmlns="http://schemas.openxmlformats.org/spreadsheetml/2006/main" count="59" uniqueCount="43">
  <si>
    <t>YELLOOW= ASSUMED</t>
  </si>
  <si>
    <t>is assumed equals to 10 K</t>
  </si>
  <si>
    <t xml:space="preserve">The air temperature difference </t>
  </si>
  <si>
    <t>HYPOTHESIS</t>
  </si>
  <si>
    <t>Pow FL</t>
  </si>
  <si>
    <t>Heat Cap FL</t>
  </si>
  <si>
    <t>COP_FL</t>
  </si>
  <si>
    <t>Freq</t>
  </si>
  <si>
    <t>COP</t>
  </si>
  <si>
    <t>PLF</t>
  </si>
  <si>
    <t>Heat Abs EVA [kW[]</t>
  </si>
  <si>
    <t>Heat Cap COND [kW]</t>
  </si>
  <si>
    <t>Pow [kW]</t>
  </si>
  <si>
    <t>LPD [kPa]</t>
  </si>
  <si>
    <t>LFR [kg/s]</t>
  </si>
  <si>
    <t>LExT [°C]</t>
  </si>
  <si>
    <t>LET [°C]</t>
  </si>
  <si>
    <t>SPD [kPa]</t>
  </si>
  <si>
    <t>SFR [l/s]</t>
  </si>
  <si>
    <t>SExT [°C]</t>
  </si>
  <si>
    <t>SET [°C]</t>
  </si>
  <si>
    <t>Point</t>
  </si>
  <si>
    <t>SET</t>
  </si>
  <si>
    <t>X</t>
  </si>
  <si>
    <t>COP'</t>
  </si>
  <si>
    <t>COP_fl</t>
  </si>
  <si>
    <t>f_cop</t>
  </si>
  <si>
    <t>Full</t>
  </si>
  <si>
    <t>A</t>
  </si>
  <si>
    <t>B</t>
  </si>
  <si>
    <t>C</t>
  </si>
  <si>
    <t>Zero</t>
  </si>
  <si>
    <t>MODEL : WPL_A_HK_07 Premium</t>
  </si>
  <si>
    <t>SFR [kg/s]</t>
  </si>
  <si>
    <t>EN 14825:2022</t>
  </si>
  <si>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Aptos Narrow"/>
        <family val="2"/>
        <scheme val="minor"/>
      </rPr>
      <t>Tair [K]</t>
    </r>
  </si>
  <si>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Aptos Narrow"/>
        <family val="2"/>
        <scheme val="minor"/>
      </rPr>
      <t>Twater [K]</t>
    </r>
  </si>
  <si>
    <t>Tdesing {°C]</t>
  </si>
  <si>
    <t>Assumed</t>
  </si>
  <si>
    <t>G</t>
  </si>
  <si>
    <t>D [mm]</t>
  </si>
  <si>
    <t>A [m^2]</t>
  </si>
  <si>
    <t>v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</si>
</sst>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ptos Narrow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2" fontId="0" fillId="4" borderId="1" xfId="0" applyNumberFormat="1" applyFill="1" applyBorder="1"/>
    <xf numFmtId="2" fontId="0" fillId="2" borderId="1" xfId="0" applyNumberFormat="1" applyFill="1" applyBorder="1"/>
    <xf numFmtId="0" fontId="0" fillId="5" borderId="0" xfId="0" applyFill="1"/>
    <xf numFmtId="0" fontId="1" fillId="5" borderId="0" xfId="0" applyFont="1" applyFill="1"/>
    <xf numFmtId="0" fontId="2" fillId="0" borderId="0" xfId="0" applyFont="1"/>
    <xf numFmtId="0" fontId="0" fillId="5" borderId="1" xfId="0" applyFill="1" applyBorder="1"/>
    <xf numFmtId="0" fontId="0" fillId="0" borderId="0" xfId="0" applyAlignment="1">
      <alignment horizontal="center"/>
    </xf>
    <xf numFmtId="0" fontId="5" fillId="5" borderId="1" xfId="0" applyFont="1" applyFill="1" applyBorder="1"/>
    <xf numFmtId="0" fontId="0" fillId="2" borderId="1" xfId="0" applyFill="1" applyBorder="1" applyAlignment="1">
      <alignment horizontal="center"/>
    </xf>
  </cellXfs>
  <cellStyles count="2">
    <cellStyle name="Normale" xfId="0" builtinId="0"/>
    <cellStyle name="Normale 2" xfId="1" xr:uid="{688583E4-C8BB-49E0-99E6-D03A50F78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0ED4-3488-4118-B8BA-7BCFCCBFD93A}">
  <sheetPr>
    <tabColor rgb="FF7030A0"/>
  </sheetPr>
  <dimension ref="A1:V606"/>
  <sheetViews>
    <sheetView zoomScaleNormal="100" workbookViewId="0">
      <selection activeCell="I6" sqref="I6"/>
    </sheetView>
  </sheetViews>
  <sheetFormatPr defaultRowHeight="14.4" x14ac:dyDescent="0.55000000000000004"/>
  <cols>
    <col min="1" max="1" width="13" style="3" bestFit="1" customWidth="1"/>
    <col min="2" max="4" width="8.83984375" style="1"/>
    <col min="5" max="6" width="8.83984375" style="3"/>
    <col min="7" max="7" width="8.83984375" style="1"/>
    <col min="8" max="8" width="9.26171875" style="1" customWidth="1"/>
    <col min="9" max="9" width="8.83984375" style="2"/>
    <col min="10" max="10" width="18" style="2" bestFit="1" customWidth="1"/>
    <col min="11" max="11" width="17" style="4" bestFit="1" customWidth="1"/>
    <col min="12" max="12" width="9" style="3" customWidth="1"/>
    <col min="13" max="13" width="8.83984375" style="2"/>
    <col min="14" max="15" width="8.83984375" style="1"/>
    <col min="16" max="16" width="15" style="1" customWidth="1"/>
    <col min="17" max="17" width="8.83984375" style="1"/>
    <col min="19" max="19" width="11.1015625" customWidth="1"/>
  </cols>
  <sheetData>
    <row r="1" spans="1:22" x14ac:dyDescent="0.55000000000000004">
      <c r="A1" s="3" t="s">
        <v>20</v>
      </c>
      <c r="B1" s="12" t="s">
        <v>19</v>
      </c>
      <c r="C1" s="12" t="s">
        <v>33</v>
      </c>
      <c r="D1" s="1" t="s">
        <v>17</v>
      </c>
      <c r="E1" s="3" t="s">
        <v>16</v>
      </c>
      <c r="F1" s="3" t="s">
        <v>15</v>
      </c>
      <c r="G1" s="12" t="s">
        <v>14</v>
      </c>
      <c r="H1" s="1" t="s">
        <v>13</v>
      </c>
      <c r="I1" s="2" t="s">
        <v>12</v>
      </c>
      <c r="J1" s="2" t="s">
        <v>11</v>
      </c>
      <c r="K1" s="4" t="s">
        <v>10</v>
      </c>
      <c r="L1" s="3" t="s">
        <v>9</v>
      </c>
      <c r="M1" s="2" t="s">
        <v>8</v>
      </c>
      <c r="N1" s="1" t="s">
        <v>7</v>
      </c>
      <c r="O1" s="1" t="s">
        <v>6</v>
      </c>
      <c r="P1" s="1" t="s">
        <v>5</v>
      </c>
      <c r="Q1" s="1" t="s">
        <v>4</v>
      </c>
    </row>
    <row r="2" spans="1:22" x14ac:dyDescent="0.55000000000000004">
      <c r="A2" s="6">
        <v>7</v>
      </c>
      <c r="B2" s="8">
        <f>A2-$T$4</f>
        <v>-3</v>
      </c>
      <c r="C2" s="1">
        <f>J2/$T$4</f>
        <v>0.33100000000000002</v>
      </c>
      <c r="E2" s="6">
        <f>F2-J2/(4.186*G2)</f>
        <v>30</v>
      </c>
      <c r="F2" s="6">
        <v>35</v>
      </c>
      <c r="G2" s="8">
        <f>J2/(4.186*$T$5)</f>
        <v>0.1581462016244625</v>
      </c>
      <c r="I2" s="5">
        <v>0.61</v>
      </c>
      <c r="J2" s="5">
        <v>3.31</v>
      </c>
      <c r="K2" s="7">
        <f t="shared" ref="K2:K65" si="0">J2-I2</f>
        <v>2.7</v>
      </c>
      <c r="L2" s="6">
        <f>(A2-16)/($T$6-16)</f>
        <v>0.34615384615384615</v>
      </c>
      <c r="M2" s="5">
        <f>J2/I2</f>
        <v>5.4262295081967213</v>
      </c>
      <c r="S2" s="11" t="s">
        <v>3</v>
      </c>
    </row>
    <row r="3" spans="1:22" x14ac:dyDescent="0.55000000000000004">
      <c r="A3" s="6">
        <v>2</v>
      </c>
      <c r="B3" s="8">
        <f>A3-$T$4</f>
        <v>-8</v>
      </c>
      <c r="C3" s="1">
        <f t="shared" ref="C3:C6" si="1">J3/$T$4</f>
        <v>0.43</v>
      </c>
      <c r="E3" s="6">
        <f t="shared" ref="E3:E6" si="2">F3-J3/(4.186*G3)</f>
        <v>30</v>
      </c>
      <c r="F3" s="6">
        <v>35</v>
      </c>
      <c r="G3" s="8">
        <f t="shared" ref="G3:G6" si="3">J3/(4.186*$T$5)</f>
        <v>0.2054467271858576</v>
      </c>
      <c r="I3" s="5">
        <v>1</v>
      </c>
      <c r="J3" s="5">
        <v>4.3</v>
      </c>
      <c r="K3" s="7">
        <f t="shared" si="0"/>
        <v>3.3</v>
      </c>
      <c r="L3" s="6">
        <f t="shared" ref="L3:L6" si="4">(A3-16)/($T$6-16)</f>
        <v>0.53846153846153844</v>
      </c>
      <c r="M3" s="5">
        <f t="shared" ref="M3:M6" si="5">J3/I3</f>
        <v>4.3</v>
      </c>
      <c r="S3" s="10" t="s">
        <v>32</v>
      </c>
      <c r="T3" s="10"/>
      <c r="U3" s="10"/>
      <c r="V3" s="9"/>
    </row>
    <row r="4" spans="1:22" x14ac:dyDescent="0.55000000000000004">
      <c r="A4" s="6">
        <v>-7</v>
      </c>
      <c r="B4" s="8">
        <f t="shared" ref="B3:B6" si="6">A4-$T$4</f>
        <v>-17</v>
      </c>
      <c r="C4" s="1">
        <f t="shared" si="1"/>
        <v>0.68700000000000006</v>
      </c>
      <c r="E4" s="6">
        <f t="shared" si="2"/>
        <v>30</v>
      </c>
      <c r="F4" s="6">
        <v>35</v>
      </c>
      <c r="G4" s="8">
        <f t="shared" si="3"/>
        <v>0.32823698041089344</v>
      </c>
      <c r="I4" s="5">
        <v>2.36</v>
      </c>
      <c r="J4" s="5">
        <v>6.87</v>
      </c>
      <c r="K4" s="7">
        <f t="shared" si="0"/>
        <v>4.51</v>
      </c>
      <c r="L4" s="6">
        <f t="shared" si="4"/>
        <v>0.88461538461538458</v>
      </c>
      <c r="M4" s="5">
        <f t="shared" si="5"/>
        <v>2.9110169491525424</v>
      </c>
      <c r="S4" s="10" t="s">
        <v>35</v>
      </c>
      <c r="T4" s="10">
        <f>10</f>
        <v>10</v>
      </c>
      <c r="U4" s="10"/>
      <c r="V4" s="10"/>
    </row>
    <row r="5" spans="1:22" x14ac:dyDescent="0.55000000000000004">
      <c r="A5" s="6">
        <v>-7</v>
      </c>
      <c r="B5" s="8">
        <f t="shared" si="6"/>
        <v>-17</v>
      </c>
      <c r="C5" s="1">
        <f t="shared" si="1"/>
        <v>0.70099999999999996</v>
      </c>
      <c r="E5" s="6">
        <f t="shared" si="2"/>
        <v>50</v>
      </c>
      <c r="F5" s="6">
        <v>55</v>
      </c>
      <c r="G5" s="8">
        <f t="shared" si="3"/>
        <v>0.33492594362159578</v>
      </c>
      <c r="I5" s="5">
        <v>2.97</v>
      </c>
      <c r="J5" s="5">
        <v>7.01</v>
      </c>
      <c r="K5" s="7">
        <f t="shared" si="0"/>
        <v>4.0399999999999991</v>
      </c>
      <c r="L5" s="6">
        <f t="shared" si="4"/>
        <v>0.88461538461538458</v>
      </c>
      <c r="M5" s="5">
        <f t="shared" si="5"/>
        <v>2.3602693602693599</v>
      </c>
      <c r="S5" s="10" t="s">
        <v>36</v>
      </c>
      <c r="T5" s="10">
        <v>5</v>
      </c>
      <c r="U5" s="10" t="s">
        <v>34</v>
      </c>
      <c r="V5" s="10"/>
    </row>
    <row r="6" spans="1:22" x14ac:dyDescent="0.55000000000000004">
      <c r="A6" s="6">
        <v>-15</v>
      </c>
      <c r="B6" s="8">
        <f t="shared" si="6"/>
        <v>-25</v>
      </c>
      <c r="C6" s="1">
        <f t="shared" si="1"/>
        <v>0.64</v>
      </c>
      <c r="E6" s="6">
        <f t="shared" si="2"/>
        <v>30</v>
      </c>
      <c r="F6" s="6">
        <v>35</v>
      </c>
      <c r="G6" s="8">
        <f t="shared" si="3"/>
        <v>0.30578117534639276</v>
      </c>
      <c r="I6" s="5">
        <v>2.4</v>
      </c>
      <c r="J6" s="5">
        <v>6.4</v>
      </c>
      <c r="K6" s="7">
        <f t="shared" si="0"/>
        <v>4</v>
      </c>
      <c r="L6" s="6">
        <f t="shared" si="4"/>
        <v>1.1923076923076923</v>
      </c>
      <c r="M6" s="5">
        <f t="shared" si="5"/>
        <v>2.666666666666667</v>
      </c>
      <c r="S6" s="10" t="s">
        <v>37</v>
      </c>
      <c r="T6" s="10">
        <v>-10</v>
      </c>
      <c r="U6" s="10" t="s">
        <v>38</v>
      </c>
      <c r="V6" s="10"/>
    </row>
    <row r="7" spans="1:22" x14ac:dyDescent="0.55000000000000004">
      <c r="A7" s="6"/>
      <c r="B7" s="8"/>
      <c r="E7" s="6"/>
      <c r="F7" s="6"/>
      <c r="G7" s="8"/>
      <c r="I7" s="5"/>
      <c r="J7" s="5"/>
      <c r="K7" s="7"/>
      <c r="L7" s="6"/>
      <c r="M7" s="5"/>
      <c r="S7" s="10"/>
      <c r="T7" s="9"/>
      <c r="U7" s="9"/>
      <c r="V7" s="9"/>
    </row>
    <row r="8" spans="1:22" x14ac:dyDescent="0.55000000000000004">
      <c r="A8" s="6"/>
      <c r="B8" s="8"/>
      <c r="E8" s="6"/>
      <c r="F8" s="6"/>
      <c r="G8" s="8"/>
      <c r="I8" s="5"/>
      <c r="J8" s="5"/>
      <c r="K8" s="7"/>
      <c r="L8" s="6"/>
      <c r="M8" s="5"/>
      <c r="S8" s="10"/>
      <c r="T8" s="9"/>
      <c r="U8" s="9"/>
      <c r="V8" s="9"/>
    </row>
    <row r="9" spans="1:22" x14ac:dyDescent="0.55000000000000004">
      <c r="A9" s="6"/>
      <c r="B9" s="8"/>
      <c r="E9" s="6"/>
      <c r="F9" s="6"/>
      <c r="G9" s="8"/>
      <c r="J9" s="5"/>
      <c r="K9" s="7"/>
      <c r="L9" s="6"/>
      <c r="M9" s="5"/>
      <c r="S9" s="9"/>
      <c r="T9" s="9"/>
      <c r="U9" s="9"/>
      <c r="V9" s="9"/>
    </row>
    <row r="10" spans="1:22" x14ac:dyDescent="0.55000000000000004">
      <c r="A10" s="6"/>
      <c r="B10" s="8"/>
      <c r="E10" s="6"/>
      <c r="F10" s="6"/>
      <c r="G10" s="8"/>
      <c r="J10" s="5"/>
      <c r="K10" s="7"/>
      <c r="L10" s="6"/>
      <c r="M10" s="5"/>
      <c r="S10" s="10" t="s">
        <v>2</v>
      </c>
      <c r="T10" s="10"/>
      <c r="U10" s="10"/>
      <c r="V10" s="9"/>
    </row>
    <row r="11" spans="1:22" x14ac:dyDescent="0.55000000000000004">
      <c r="A11" s="6"/>
      <c r="B11" s="8"/>
      <c r="E11" s="6"/>
      <c r="F11" s="6"/>
      <c r="G11" s="8"/>
      <c r="J11" s="5"/>
      <c r="K11" s="7"/>
      <c r="L11" s="6"/>
      <c r="M11" s="5"/>
      <c r="S11" s="10" t="s">
        <v>1</v>
      </c>
      <c r="T11" s="10"/>
      <c r="U11" s="10"/>
      <c r="V11" s="9"/>
    </row>
    <row r="12" spans="1:22" x14ac:dyDescent="0.55000000000000004">
      <c r="A12" s="6"/>
      <c r="B12" s="8"/>
      <c r="E12" s="6"/>
      <c r="F12" s="6"/>
      <c r="G12" s="8"/>
      <c r="J12" s="5"/>
      <c r="K12" s="7"/>
      <c r="L12" s="6"/>
      <c r="M12" s="5"/>
      <c r="S12" s="10"/>
      <c r="T12" s="10"/>
      <c r="U12" s="10"/>
      <c r="V12" s="9"/>
    </row>
    <row r="13" spans="1:22" x14ac:dyDescent="0.55000000000000004">
      <c r="A13" s="6"/>
      <c r="B13" s="8"/>
      <c r="E13" s="6"/>
      <c r="F13" s="6"/>
      <c r="G13" s="8"/>
      <c r="J13" s="5"/>
      <c r="K13" s="7"/>
      <c r="L13" s="6"/>
      <c r="M13" s="5"/>
      <c r="S13" s="10" t="s">
        <v>0</v>
      </c>
      <c r="T13" s="9"/>
      <c r="U13" s="9"/>
      <c r="V13" s="9"/>
    </row>
    <row r="14" spans="1:22" x14ac:dyDescent="0.55000000000000004">
      <c r="A14" s="6"/>
      <c r="B14" s="8"/>
      <c r="E14" s="6"/>
      <c r="F14" s="6"/>
      <c r="G14" s="8"/>
      <c r="J14" s="5"/>
      <c r="K14" s="7"/>
      <c r="L14" s="6"/>
      <c r="M14" s="5"/>
    </row>
    <row r="15" spans="1:22" x14ac:dyDescent="0.55000000000000004">
      <c r="A15" s="6"/>
      <c r="B15" s="8"/>
      <c r="E15" s="6"/>
      <c r="F15" s="6"/>
      <c r="G15" s="8"/>
      <c r="J15" s="5"/>
      <c r="K15" s="7"/>
      <c r="L15" s="6"/>
      <c r="M15" s="5"/>
    </row>
    <row r="16" spans="1:22" x14ac:dyDescent="0.55000000000000004">
      <c r="A16" s="6"/>
      <c r="B16" s="8"/>
      <c r="E16" s="6"/>
      <c r="F16" s="6"/>
      <c r="G16" s="8"/>
      <c r="J16" s="5"/>
      <c r="K16" s="7"/>
      <c r="L16" s="6"/>
      <c r="M16" s="5"/>
    </row>
    <row r="17" spans="1:13" x14ac:dyDescent="0.55000000000000004">
      <c r="A17" s="6"/>
      <c r="B17" s="8"/>
      <c r="E17" s="6"/>
      <c r="F17" s="6"/>
      <c r="G17" s="8"/>
      <c r="J17" s="5"/>
      <c r="K17" s="7"/>
      <c r="L17" s="6"/>
      <c r="M17" s="5"/>
    </row>
    <row r="18" spans="1:13" x14ac:dyDescent="0.55000000000000004">
      <c r="A18" s="6"/>
      <c r="B18" s="8"/>
      <c r="E18" s="6"/>
      <c r="F18" s="6"/>
      <c r="G18" s="8"/>
      <c r="J18" s="5"/>
      <c r="K18" s="7"/>
      <c r="L18" s="6"/>
      <c r="M18" s="5"/>
    </row>
    <row r="19" spans="1:13" x14ac:dyDescent="0.55000000000000004">
      <c r="A19" s="6"/>
      <c r="B19" s="8"/>
      <c r="E19" s="6"/>
      <c r="F19" s="6"/>
      <c r="G19" s="8"/>
      <c r="J19" s="5"/>
      <c r="K19" s="7"/>
      <c r="L19" s="6"/>
      <c r="M19" s="5"/>
    </row>
    <row r="20" spans="1:13" x14ac:dyDescent="0.55000000000000004">
      <c r="A20" s="6"/>
      <c r="B20" s="8"/>
      <c r="E20" s="6"/>
      <c r="F20" s="6"/>
      <c r="G20" s="8"/>
      <c r="J20" s="5"/>
      <c r="K20" s="7"/>
      <c r="L20" s="6"/>
      <c r="M20" s="5"/>
    </row>
    <row r="21" spans="1:13" x14ac:dyDescent="0.55000000000000004">
      <c r="A21" s="6"/>
      <c r="B21" s="8"/>
      <c r="E21" s="6"/>
      <c r="F21" s="6"/>
      <c r="G21" s="8"/>
      <c r="J21" s="5"/>
      <c r="K21" s="7"/>
      <c r="L21" s="6"/>
      <c r="M21" s="5"/>
    </row>
    <row r="22" spans="1:13" x14ac:dyDescent="0.55000000000000004">
      <c r="A22" s="6"/>
      <c r="B22" s="8"/>
      <c r="E22" s="6"/>
      <c r="F22" s="6"/>
      <c r="G22" s="8"/>
      <c r="J22" s="5"/>
      <c r="K22" s="7"/>
      <c r="L22" s="6"/>
      <c r="M22" s="5"/>
    </row>
    <row r="23" spans="1:13" x14ac:dyDescent="0.55000000000000004">
      <c r="A23" s="6"/>
      <c r="B23" s="8"/>
      <c r="E23" s="6"/>
      <c r="F23" s="6"/>
      <c r="G23" s="8"/>
      <c r="J23" s="5"/>
      <c r="K23" s="7"/>
      <c r="L23" s="6"/>
      <c r="M23" s="5"/>
    </row>
    <row r="24" spans="1:13" x14ac:dyDescent="0.55000000000000004">
      <c r="A24" s="6"/>
      <c r="B24" s="8"/>
      <c r="E24" s="6"/>
      <c r="F24" s="6"/>
      <c r="G24" s="8"/>
      <c r="J24" s="5"/>
      <c r="K24" s="7"/>
      <c r="L24" s="6"/>
      <c r="M24" s="5"/>
    </row>
    <row r="25" spans="1:13" x14ac:dyDescent="0.55000000000000004">
      <c r="A25" s="6"/>
      <c r="B25" s="8"/>
      <c r="E25" s="6"/>
      <c r="F25" s="6"/>
      <c r="G25" s="8"/>
      <c r="J25" s="5"/>
      <c r="K25" s="7"/>
      <c r="L25" s="6"/>
      <c r="M25" s="5"/>
    </row>
    <row r="26" spans="1:13" x14ac:dyDescent="0.55000000000000004">
      <c r="A26" s="6"/>
      <c r="B26" s="8"/>
      <c r="E26" s="6"/>
      <c r="F26" s="6"/>
      <c r="G26" s="8"/>
      <c r="J26" s="5"/>
      <c r="K26" s="7"/>
      <c r="L26" s="6"/>
      <c r="M26" s="5"/>
    </row>
    <row r="27" spans="1:13" x14ac:dyDescent="0.55000000000000004">
      <c r="A27" s="6"/>
      <c r="B27" s="8"/>
      <c r="E27" s="6"/>
      <c r="F27" s="6"/>
      <c r="G27" s="8"/>
      <c r="J27" s="5"/>
      <c r="K27" s="7"/>
      <c r="L27" s="6"/>
      <c r="M27" s="5"/>
    </row>
    <row r="28" spans="1:13" x14ac:dyDescent="0.55000000000000004">
      <c r="A28" s="6"/>
      <c r="B28" s="8"/>
      <c r="E28" s="6"/>
      <c r="F28" s="6"/>
      <c r="G28" s="8"/>
      <c r="J28" s="5"/>
      <c r="K28" s="7"/>
      <c r="L28" s="6"/>
      <c r="M28" s="5"/>
    </row>
    <row r="29" spans="1:13" x14ac:dyDescent="0.55000000000000004">
      <c r="A29" s="6"/>
      <c r="B29" s="8"/>
      <c r="E29" s="6"/>
      <c r="F29" s="6"/>
      <c r="G29" s="8"/>
      <c r="J29" s="5"/>
      <c r="K29" s="7"/>
      <c r="L29" s="6"/>
      <c r="M29" s="5"/>
    </row>
    <row r="30" spans="1:13" x14ac:dyDescent="0.55000000000000004">
      <c r="A30" s="6"/>
      <c r="B30" s="8"/>
      <c r="E30" s="6"/>
      <c r="F30" s="6"/>
      <c r="G30" s="8"/>
      <c r="J30" s="5"/>
      <c r="K30" s="7"/>
      <c r="L30" s="6"/>
      <c r="M30" s="5"/>
    </row>
    <row r="31" spans="1:13" x14ac:dyDescent="0.55000000000000004">
      <c r="A31" s="6"/>
      <c r="B31" s="8"/>
      <c r="E31" s="6"/>
      <c r="F31" s="6"/>
      <c r="G31" s="8"/>
      <c r="J31" s="5"/>
      <c r="K31" s="7"/>
      <c r="L31" s="6"/>
      <c r="M31" s="5"/>
    </row>
    <row r="32" spans="1:13" x14ac:dyDescent="0.55000000000000004">
      <c r="A32" s="6"/>
      <c r="B32" s="8"/>
      <c r="E32" s="6"/>
      <c r="F32" s="6"/>
      <c r="G32" s="8"/>
      <c r="J32" s="5"/>
      <c r="K32" s="7"/>
      <c r="L32" s="6"/>
      <c r="M32" s="5"/>
    </row>
    <row r="33" spans="1:13" x14ac:dyDescent="0.55000000000000004">
      <c r="A33" s="6"/>
      <c r="B33" s="8"/>
      <c r="E33" s="6"/>
      <c r="F33" s="6"/>
      <c r="G33" s="8"/>
      <c r="J33" s="5"/>
      <c r="K33" s="7"/>
      <c r="L33" s="6"/>
      <c r="M33" s="5"/>
    </row>
    <row r="34" spans="1:13" x14ac:dyDescent="0.55000000000000004">
      <c r="A34" s="6"/>
      <c r="B34" s="8"/>
      <c r="E34" s="6"/>
      <c r="F34" s="6"/>
      <c r="G34" s="8"/>
      <c r="J34" s="5"/>
      <c r="K34" s="7"/>
      <c r="L34" s="6"/>
      <c r="M34" s="5"/>
    </row>
    <row r="35" spans="1:13" x14ac:dyDescent="0.55000000000000004">
      <c r="A35" s="6"/>
      <c r="B35" s="8"/>
      <c r="E35" s="6"/>
      <c r="F35" s="6"/>
      <c r="G35" s="8"/>
      <c r="J35" s="5"/>
      <c r="K35" s="7"/>
      <c r="L35" s="6"/>
      <c r="M35" s="5"/>
    </row>
    <row r="36" spans="1:13" x14ac:dyDescent="0.55000000000000004">
      <c r="A36" s="6"/>
      <c r="B36" s="8"/>
      <c r="E36" s="6"/>
      <c r="F36" s="6"/>
      <c r="G36" s="8"/>
      <c r="J36" s="5"/>
      <c r="K36" s="7"/>
      <c r="L36" s="6"/>
      <c r="M36" s="5"/>
    </row>
    <row r="37" spans="1:13" x14ac:dyDescent="0.55000000000000004">
      <c r="A37" s="6"/>
      <c r="B37" s="8"/>
      <c r="E37" s="6"/>
      <c r="F37" s="6"/>
      <c r="G37" s="8"/>
      <c r="J37" s="5"/>
      <c r="K37" s="7"/>
      <c r="L37" s="6"/>
      <c r="M37" s="5"/>
    </row>
    <row r="38" spans="1:13" x14ac:dyDescent="0.55000000000000004">
      <c r="A38" s="6"/>
      <c r="B38" s="8"/>
      <c r="E38" s="6"/>
      <c r="F38" s="6"/>
      <c r="G38" s="8"/>
      <c r="J38" s="5"/>
      <c r="K38" s="7"/>
      <c r="L38" s="6"/>
      <c r="M38" s="5"/>
    </row>
    <row r="39" spans="1:13" x14ac:dyDescent="0.55000000000000004">
      <c r="A39" s="6"/>
      <c r="B39" s="8"/>
      <c r="E39" s="6"/>
      <c r="F39" s="6"/>
      <c r="G39" s="8"/>
      <c r="J39" s="5"/>
      <c r="K39" s="7"/>
      <c r="L39" s="6"/>
      <c r="M39" s="5"/>
    </row>
    <row r="40" spans="1:13" x14ac:dyDescent="0.55000000000000004">
      <c r="A40" s="6"/>
      <c r="B40" s="8"/>
      <c r="E40" s="6"/>
      <c r="F40" s="6"/>
      <c r="G40" s="8"/>
      <c r="J40" s="5"/>
      <c r="K40" s="7"/>
      <c r="L40" s="6"/>
      <c r="M40" s="5"/>
    </row>
    <row r="41" spans="1:13" x14ac:dyDescent="0.55000000000000004">
      <c r="A41" s="6"/>
      <c r="B41" s="8"/>
      <c r="E41" s="6"/>
      <c r="F41" s="6"/>
      <c r="G41" s="8"/>
      <c r="J41" s="5"/>
      <c r="K41" s="7"/>
      <c r="L41" s="6"/>
      <c r="M41" s="5"/>
    </row>
    <row r="42" spans="1:13" x14ac:dyDescent="0.55000000000000004">
      <c r="A42" s="6"/>
      <c r="B42" s="8"/>
      <c r="E42" s="6"/>
      <c r="F42" s="6"/>
      <c r="G42" s="8"/>
      <c r="J42" s="5"/>
      <c r="K42" s="7"/>
      <c r="L42" s="6"/>
      <c r="M42" s="5"/>
    </row>
    <row r="43" spans="1:13" x14ac:dyDescent="0.55000000000000004">
      <c r="A43" s="6"/>
      <c r="B43" s="8"/>
      <c r="E43" s="6"/>
      <c r="F43" s="6"/>
      <c r="G43" s="8"/>
      <c r="J43" s="5"/>
      <c r="K43" s="7"/>
      <c r="L43" s="6"/>
      <c r="M43" s="5"/>
    </row>
    <row r="44" spans="1:13" x14ac:dyDescent="0.55000000000000004">
      <c r="A44" s="6"/>
      <c r="B44" s="8"/>
      <c r="E44" s="6"/>
      <c r="F44" s="6"/>
      <c r="G44" s="8"/>
      <c r="J44" s="5"/>
      <c r="K44" s="7"/>
      <c r="L44" s="6"/>
      <c r="M44" s="5"/>
    </row>
    <row r="45" spans="1:13" x14ac:dyDescent="0.55000000000000004">
      <c r="A45" s="6"/>
      <c r="B45" s="8"/>
      <c r="E45" s="6"/>
      <c r="F45" s="6"/>
      <c r="G45" s="8"/>
      <c r="J45" s="5"/>
      <c r="K45" s="7"/>
      <c r="L45" s="6"/>
      <c r="M45" s="5"/>
    </row>
    <row r="46" spans="1:13" x14ac:dyDescent="0.55000000000000004">
      <c r="A46" s="6"/>
      <c r="B46" s="8"/>
      <c r="E46" s="6"/>
      <c r="F46" s="6"/>
      <c r="G46" s="8"/>
      <c r="J46" s="5"/>
      <c r="K46" s="7"/>
      <c r="L46" s="6"/>
      <c r="M46" s="5"/>
    </row>
    <row r="47" spans="1:13" x14ac:dyDescent="0.55000000000000004">
      <c r="A47" s="6"/>
      <c r="B47" s="8"/>
      <c r="E47" s="6"/>
      <c r="F47" s="6"/>
      <c r="G47" s="8"/>
      <c r="J47" s="5"/>
      <c r="K47" s="7"/>
      <c r="L47" s="6"/>
      <c r="M47" s="5"/>
    </row>
    <row r="48" spans="1:13" x14ac:dyDescent="0.55000000000000004">
      <c r="A48" s="6"/>
      <c r="B48" s="8"/>
      <c r="E48" s="6"/>
      <c r="F48" s="6"/>
      <c r="G48" s="8"/>
      <c r="J48" s="5"/>
      <c r="K48" s="7"/>
      <c r="L48" s="6"/>
      <c r="M48" s="5"/>
    </row>
    <row r="49" spans="1:13" x14ac:dyDescent="0.55000000000000004">
      <c r="A49" s="6"/>
      <c r="B49" s="8"/>
      <c r="E49" s="6"/>
      <c r="F49" s="6"/>
      <c r="G49" s="8"/>
      <c r="J49" s="5"/>
      <c r="K49" s="7"/>
      <c r="L49" s="6"/>
      <c r="M49" s="5"/>
    </row>
    <row r="50" spans="1:13" x14ac:dyDescent="0.55000000000000004">
      <c r="A50" s="6"/>
      <c r="B50" s="8"/>
      <c r="E50" s="6"/>
      <c r="F50" s="6"/>
      <c r="G50" s="8"/>
      <c r="J50" s="5"/>
      <c r="K50" s="7"/>
      <c r="L50" s="6"/>
      <c r="M50" s="5"/>
    </row>
    <row r="51" spans="1:13" x14ac:dyDescent="0.55000000000000004">
      <c r="A51" s="6"/>
      <c r="B51" s="8"/>
      <c r="E51" s="6"/>
      <c r="F51" s="6"/>
      <c r="G51" s="8"/>
      <c r="J51" s="5"/>
      <c r="K51" s="7"/>
      <c r="L51" s="6"/>
      <c r="M51" s="5"/>
    </row>
    <row r="52" spans="1:13" x14ac:dyDescent="0.55000000000000004">
      <c r="A52" s="6"/>
      <c r="B52" s="8"/>
      <c r="E52" s="6"/>
      <c r="F52" s="6"/>
      <c r="G52" s="8"/>
      <c r="J52" s="5"/>
      <c r="K52" s="7"/>
      <c r="L52" s="6"/>
      <c r="M52" s="5"/>
    </row>
    <row r="53" spans="1:13" x14ac:dyDescent="0.55000000000000004">
      <c r="A53" s="6"/>
      <c r="B53" s="8"/>
      <c r="E53" s="6"/>
      <c r="F53" s="6"/>
      <c r="G53" s="8"/>
      <c r="J53" s="5"/>
      <c r="K53" s="7"/>
      <c r="L53" s="6"/>
      <c r="M53" s="5"/>
    </row>
    <row r="54" spans="1:13" x14ac:dyDescent="0.55000000000000004">
      <c r="A54" s="6"/>
      <c r="B54" s="8"/>
      <c r="E54" s="6"/>
      <c r="F54" s="6"/>
      <c r="G54" s="8"/>
      <c r="J54" s="5"/>
      <c r="K54" s="7"/>
      <c r="L54" s="6"/>
      <c r="M54" s="5"/>
    </row>
    <row r="55" spans="1:13" x14ac:dyDescent="0.55000000000000004">
      <c r="A55" s="6"/>
      <c r="B55" s="8"/>
      <c r="E55" s="6"/>
      <c r="F55" s="6"/>
      <c r="G55" s="8"/>
      <c r="J55" s="5"/>
      <c r="K55" s="7"/>
      <c r="L55" s="6"/>
      <c r="M55" s="5"/>
    </row>
    <row r="56" spans="1:13" x14ac:dyDescent="0.55000000000000004">
      <c r="A56" s="6"/>
      <c r="B56" s="8"/>
      <c r="E56" s="6"/>
      <c r="F56" s="6"/>
      <c r="G56" s="8"/>
      <c r="J56" s="5"/>
      <c r="K56" s="7"/>
      <c r="L56" s="6"/>
      <c r="M56" s="5"/>
    </row>
    <row r="57" spans="1:13" x14ac:dyDescent="0.55000000000000004">
      <c r="A57" s="6"/>
      <c r="B57" s="8"/>
      <c r="E57" s="6"/>
      <c r="F57" s="6"/>
      <c r="G57" s="8"/>
      <c r="J57" s="5"/>
      <c r="K57" s="7"/>
      <c r="L57" s="6"/>
      <c r="M57" s="5"/>
    </row>
    <row r="58" spans="1:13" x14ac:dyDescent="0.55000000000000004">
      <c r="A58" s="6"/>
      <c r="B58" s="8"/>
      <c r="E58" s="6"/>
      <c r="F58" s="6"/>
      <c r="G58" s="8"/>
      <c r="J58" s="5"/>
      <c r="K58" s="7"/>
      <c r="L58" s="6"/>
      <c r="M58" s="5"/>
    </row>
    <row r="59" spans="1:13" x14ac:dyDescent="0.55000000000000004">
      <c r="A59" s="6"/>
      <c r="B59" s="8"/>
      <c r="E59" s="6"/>
      <c r="F59" s="6"/>
      <c r="G59" s="8"/>
      <c r="J59" s="5"/>
      <c r="K59" s="7"/>
      <c r="L59" s="6"/>
      <c r="M59" s="5"/>
    </row>
    <row r="60" spans="1:13" x14ac:dyDescent="0.55000000000000004">
      <c r="A60" s="6"/>
      <c r="B60" s="8"/>
      <c r="E60" s="6"/>
      <c r="F60" s="6"/>
      <c r="G60" s="8"/>
      <c r="J60" s="5"/>
      <c r="K60" s="7"/>
      <c r="L60" s="6"/>
      <c r="M60" s="5"/>
    </row>
    <row r="61" spans="1:13" x14ac:dyDescent="0.55000000000000004">
      <c r="A61" s="6"/>
      <c r="B61" s="8"/>
      <c r="E61" s="6"/>
      <c r="F61" s="6"/>
      <c r="G61" s="8"/>
      <c r="J61" s="5"/>
      <c r="K61" s="7"/>
      <c r="L61" s="6"/>
      <c r="M61" s="5"/>
    </row>
    <row r="62" spans="1:13" x14ac:dyDescent="0.55000000000000004">
      <c r="A62" s="6"/>
      <c r="B62" s="8"/>
      <c r="E62" s="6"/>
      <c r="F62" s="6"/>
      <c r="G62" s="8"/>
      <c r="J62" s="5"/>
      <c r="K62" s="7"/>
      <c r="L62" s="6"/>
      <c r="M62" s="5"/>
    </row>
    <row r="63" spans="1:13" x14ac:dyDescent="0.55000000000000004">
      <c r="A63" s="6"/>
      <c r="B63" s="8"/>
      <c r="E63" s="6"/>
      <c r="F63" s="6"/>
      <c r="G63" s="8"/>
      <c r="J63" s="5"/>
      <c r="K63" s="7"/>
      <c r="L63" s="6"/>
      <c r="M63" s="5"/>
    </row>
    <row r="64" spans="1:13" x14ac:dyDescent="0.55000000000000004">
      <c r="A64" s="6"/>
      <c r="B64" s="8"/>
      <c r="E64" s="6"/>
      <c r="F64" s="6"/>
      <c r="G64" s="8"/>
      <c r="J64" s="5"/>
      <c r="K64" s="7"/>
      <c r="L64" s="6"/>
      <c r="M64" s="5"/>
    </row>
    <row r="65" spans="1:13" x14ac:dyDescent="0.55000000000000004">
      <c r="A65" s="6"/>
      <c r="B65" s="8"/>
      <c r="E65" s="6"/>
      <c r="F65" s="6"/>
      <c r="G65" s="8"/>
      <c r="J65" s="5"/>
      <c r="K65" s="7"/>
      <c r="L65" s="6"/>
      <c r="M65" s="5"/>
    </row>
    <row r="66" spans="1:13" x14ac:dyDescent="0.55000000000000004">
      <c r="A66" s="6"/>
      <c r="B66" s="8"/>
      <c r="E66" s="6"/>
      <c r="F66" s="6"/>
      <c r="G66" s="8"/>
      <c r="J66" s="5"/>
      <c r="K66" s="7"/>
      <c r="L66" s="6"/>
      <c r="M66" s="5"/>
    </row>
    <row r="67" spans="1:13" x14ac:dyDescent="0.55000000000000004">
      <c r="A67" s="6"/>
      <c r="B67" s="8"/>
      <c r="E67" s="6"/>
      <c r="F67" s="6"/>
      <c r="G67" s="8"/>
      <c r="J67" s="5"/>
      <c r="K67" s="7"/>
      <c r="L67" s="6"/>
      <c r="M67" s="5"/>
    </row>
    <row r="68" spans="1:13" x14ac:dyDescent="0.55000000000000004">
      <c r="A68" s="6"/>
      <c r="B68" s="8"/>
      <c r="E68" s="6"/>
      <c r="F68" s="6"/>
      <c r="G68" s="8"/>
      <c r="J68" s="5"/>
      <c r="K68" s="7"/>
      <c r="L68" s="6"/>
      <c r="M68" s="5"/>
    </row>
    <row r="69" spans="1:13" x14ac:dyDescent="0.55000000000000004">
      <c r="A69" s="6"/>
      <c r="B69" s="8"/>
      <c r="E69" s="6"/>
      <c r="F69" s="6"/>
      <c r="G69" s="8"/>
      <c r="J69" s="5"/>
      <c r="K69" s="7"/>
      <c r="L69" s="6"/>
      <c r="M69" s="5"/>
    </row>
    <row r="70" spans="1:13" x14ac:dyDescent="0.55000000000000004">
      <c r="A70" s="6"/>
      <c r="B70" s="8"/>
      <c r="E70" s="6"/>
      <c r="F70" s="6"/>
      <c r="G70" s="8"/>
      <c r="J70" s="5"/>
      <c r="K70" s="7"/>
      <c r="L70" s="6"/>
      <c r="M70" s="5"/>
    </row>
    <row r="71" spans="1:13" x14ac:dyDescent="0.55000000000000004">
      <c r="A71" s="6"/>
      <c r="B71" s="8"/>
      <c r="E71" s="6"/>
      <c r="F71" s="6"/>
      <c r="G71" s="8"/>
      <c r="J71" s="5"/>
      <c r="K71" s="7"/>
      <c r="L71" s="6"/>
      <c r="M71" s="5"/>
    </row>
    <row r="72" spans="1:13" x14ac:dyDescent="0.55000000000000004">
      <c r="A72" s="6"/>
      <c r="B72" s="8"/>
      <c r="E72" s="6"/>
      <c r="F72" s="6"/>
      <c r="G72" s="8"/>
      <c r="J72" s="5"/>
      <c r="K72" s="7"/>
      <c r="L72" s="6"/>
      <c r="M72" s="5"/>
    </row>
    <row r="73" spans="1:13" x14ac:dyDescent="0.55000000000000004">
      <c r="A73" s="6"/>
      <c r="B73" s="8"/>
      <c r="E73" s="6"/>
      <c r="F73" s="6"/>
      <c r="G73" s="8"/>
      <c r="J73" s="5"/>
      <c r="K73" s="7"/>
      <c r="L73" s="6"/>
      <c r="M73" s="5"/>
    </row>
    <row r="74" spans="1:13" x14ac:dyDescent="0.55000000000000004">
      <c r="A74" s="6"/>
      <c r="B74" s="8"/>
      <c r="E74" s="6"/>
      <c r="F74" s="6"/>
      <c r="G74" s="8"/>
      <c r="J74" s="5"/>
      <c r="K74" s="7"/>
      <c r="L74" s="6"/>
      <c r="M74" s="5"/>
    </row>
    <row r="75" spans="1:13" x14ac:dyDescent="0.55000000000000004">
      <c r="A75" s="6"/>
      <c r="B75" s="8"/>
      <c r="E75" s="6"/>
      <c r="F75" s="6"/>
      <c r="G75" s="8"/>
      <c r="J75" s="5"/>
      <c r="K75" s="7"/>
      <c r="L75" s="6"/>
      <c r="M75" s="5"/>
    </row>
    <row r="76" spans="1:13" x14ac:dyDescent="0.55000000000000004">
      <c r="A76" s="6"/>
      <c r="B76" s="8"/>
      <c r="E76" s="6"/>
      <c r="F76" s="6"/>
      <c r="G76" s="8"/>
      <c r="J76" s="5"/>
      <c r="K76" s="7"/>
      <c r="L76" s="6"/>
      <c r="M76" s="5"/>
    </row>
    <row r="77" spans="1:13" x14ac:dyDescent="0.55000000000000004">
      <c r="A77" s="6"/>
      <c r="B77" s="8"/>
      <c r="E77" s="6"/>
      <c r="F77" s="6"/>
      <c r="G77" s="8"/>
      <c r="J77" s="5"/>
      <c r="K77" s="7"/>
      <c r="L77" s="6"/>
      <c r="M77" s="5"/>
    </row>
    <row r="78" spans="1:13" x14ac:dyDescent="0.55000000000000004">
      <c r="A78" s="6"/>
      <c r="B78" s="8"/>
      <c r="E78" s="6"/>
      <c r="F78" s="6"/>
      <c r="G78" s="8"/>
      <c r="J78" s="5"/>
      <c r="K78" s="7"/>
      <c r="L78" s="6"/>
      <c r="M78" s="5"/>
    </row>
    <row r="79" spans="1:13" x14ac:dyDescent="0.55000000000000004">
      <c r="A79" s="6"/>
      <c r="B79" s="8"/>
      <c r="E79" s="6"/>
      <c r="F79" s="6"/>
      <c r="G79" s="8"/>
      <c r="J79" s="5"/>
      <c r="K79" s="7"/>
      <c r="L79" s="6"/>
      <c r="M79" s="5"/>
    </row>
    <row r="80" spans="1:13" x14ac:dyDescent="0.55000000000000004">
      <c r="A80" s="6"/>
      <c r="B80" s="8"/>
      <c r="E80" s="6"/>
      <c r="F80" s="6"/>
      <c r="G80" s="8"/>
      <c r="J80" s="5"/>
      <c r="K80" s="7"/>
      <c r="L80" s="6"/>
      <c r="M80" s="5"/>
    </row>
    <row r="81" spans="1:13" x14ac:dyDescent="0.55000000000000004">
      <c r="A81" s="6"/>
      <c r="B81" s="8"/>
      <c r="E81" s="6"/>
      <c r="F81" s="6"/>
      <c r="G81" s="8"/>
      <c r="J81" s="5"/>
      <c r="K81" s="7"/>
      <c r="L81" s="6"/>
      <c r="M81" s="5"/>
    </row>
    <row r="82" spans="1:13" x14ac:dyDescent="0.55000000000000004">
      <c r="A82" s="6"/>
      <c r="B82" s="8"/>
      <c r="E82" s="6"/>
      <c r="F82" s="6"/>
      <c r="G82" s="8"/>
      <c r="J82" s="5"/>
      <c r="K82" s="7"/>
      <c r="L82" s="6"/>
      <c r="M82" s="5"/>
    </row>
    <row r="83" spans="1:13" x14ac:dyDescent="0.55000000000000004">
      <c r="A83" s="6"/>
      <c r="B83" s="8"/>
      <c r="E83" s="6"/>
      <c r="F83" s="6"/>
      <c r="G83" s="8"/>
      <c r="J83" s="5"/>
      <c r="K83" s="7"/>
      <c r="L83" s="6"/>
      <c r="M83" s="5"/>
    </row>
    <row r="84" spans="1:13" x14ac:dyDescent="0.55000000000000004">
      <c r="A84" s="6"/>
      <c r="B84" s="8"/>
      <c r="E84" s="6"/>
      <c r="F84" s="6"/>
      <c r="G84" s="8"/>
      <c r="J84" s="5"/>
      <c r="K84" s="7"/>
      <c r="L84" s="6"/>
      <c r="M84" s="5"/>
    </row>
    <row r="85" spans="1:13" x14ac:dyDescent="0.55000000000000004">
      <c r="A85" s="6"/>
      <c r="B85" s="8"/>
      <c r="E85" s="6"/>
      <c r="F85" s="6"/>
      <c r="G85" s="8"/>
      <c r="J85" s="5"/>
      <c r="K85" s="7"/>
      <c r="L85" s="6"/>
      <c r="M85" s="5"/>
    </row>
    <row r="86" spans="1:13" x14ac:dyDescent="0.55000000000000004">
      <c r="A86" s="6"/>
      <c r="B86" s="8"/>
      <c r="E86" s="6"/>
      <c r="F86" s="6"/>
      <c r="G86" s="8"/>
      <c r="J86" s="5"/>
      <c r="K86" s="7"/>
      <c r="L86" s="6"/>
      <c r="M86" s="5"/>
    </row>
    <row r="87" spans="1:13" x14ac:dyDescent="0.55000000000000004">
      <c r="A87" s="6"/>
      <c r="B87" s="8"/>
      <c r="E87" s="6"/>
      <c r="F87" s="6"/>
      <c r="G87" s="8"/>
      <c r="J87" s="5"/>
      <c r="K87" s="7"/>
      <c r="L87" s="6"/>
      <c r="M87" s="5"/>
    </row>
    <row r="88" spans="1:13" x14ac:dyDescent="0.55000000000000004">
      <c r="A88" s="6"/>
      <c r="B88" s="8"/>
      <c r="E88" s="6"/>
      <c r="F88" s="6"/>
      <c r="G88" s="8"/>
      <c r="J88" s="5"/>
      <c r="K88" s="7"/>
      <c r="L88" s="6"/>
      <c r="M88" s="5"/>
    </row>
    <row r="89" spans="1:13" x14ac:dyDescent="0.55000000000000004">
      <c r="A89" s="6"/>
      <c r="B89" s="8"/>
      <c r="E89" s="6"/>
      <c r="F89" s="6"/>
      <c r="G89" s="8"/>
      <c r="J89" s="5"/>
      <c r="K89" s="7"/>
      <c r="L89" s="6"/>
      <c r="M89" s="5"/>
    </row>
    <row r="90" spans="1:13" x14ac:dyDescent="0.55000000000000004">
      <c r="A90" s="6"/>
      <c r="B90" s="8"/>
      <c r="E90" s="6"/>
      <c r="F90" s="6"/>
      <c r="G90" s="8"/>
      <c r="J90" s="5"/>
      <c r="K90" s="7"/>
      <c r="L90" s="6"/>
      <c r="M90" s="5"/>
    </row>
    <row r="91" spans="1:13" x14ac:dyDescent="0.55000000000000004">
      <c r="A91" s="6"/>
      <c r="B91" s="8"/>
      <c r="E91" s="6"/>
      <c r="F91" s="6"/>
      <c r="G91" s="8"/>
      <c r="J91" s="5"/>
      <c r="K91" s="7"/>
      <c r="L91" s="6"/>
      <c r="M91" s="5"/>
    </row>
    <row r="92" spans="1:13" x14ac:dyDescent="0.55000000000000004">
      <c r="A92" s="6"/>
      <c r="B92" s="8"/>
      <c r="E92" s="6"/>
      <c r="F92" s="6"/>
      <c r="G92" s="8"/>
      <c r="J92" s="5"/>
      <c r="K92" s="7"/>
      <c r="L92" s="6"/>
      <c r="M92" s="5"/>
    </row>
    <row r="93" spans="1:13" x14ac:dyDescent="0.55000000000000004">
      <c r="A93" s="6"/>
      <c r="B93" s="8"/>
      <c r="E93" s="6"/>
      <c r="F93" s="6"/>
      <c r="G93" s="8"/>
      <c r="J93" s="5"/>
      <c r="K93" s="7"/>
      <c r="L93" s="6"/>
      <c r="M93" s="5"/>
    </row>
    <row r="94" spans="1:13" x14ac:dyDescent="0.55000000000000004">
      <c r="A94" s="6"/>
      <c r="B94" s="8"/>
      <c r="E94" s="6"/>
      <c r="F94" s="6"/>
      <c r="G94" s="8"/>
      <c r="J94" s="5"/>
      <c r="K94" s="7"/>
      <c r="L94" s="6"/>
      <c r="M94" s="5"/>
    </row>
    <row r="95" spans="1:13" x14ac:dyDescent="0.55000000000000004">
      <c r="A95" s="6"/>
      <c r="B95" s="8"/>
      <c r="E95" s="6"/>
      <c r="F95" s="6"/>
      <c r="G95" s="8"/>
      <c r="J95" s="5"/>
      <c r="K95" s="7"/>
      <c r="L95" s="6"/>
      <c r="M95" s="5"/>
    </row>
    <row r="96" spans="1:13" x14ac:dyDescent="0.55000000000000004">
      <c r="A96" s="6"/>
      <c r="B96" s="8"/>
      <c r="E96" s="6"/>
      <c r="F96" s="6"/>
      <c r="G96" s="8"/>
      <c r="J96" s="5"/>
      <c r="K96" s="7"/>
      <c r="L96" s="6"/>
      <c r="M96" s="5"/>
    </row>
    <row r="97" spans="1:13" x14ac:dyDescent="0.55000000000000004">
      <c r="A97" s="6"/>
      <c r="B97" s="8"/>
      <c r="E97" s="6"/>
      <c r="F97" s="6"/>
      <c r="G97" s="8"/>
      <c r="J97" s="5"/>
      <c r="K97" s="7"/>
      <c r="L97" s="6"/>
      <c r="M97" s="5"/>
    </row>
    <row r="98" spans="1:13" x14ac:dyDescent="0.55000000000000004">
      <c r="A98" s="6"/>
      <c r="B98" s="8"/>
      <c r="E98" s="6"/>
      <c r="F98" s="6"/>
      <c r="G98" s="8"/>
      <c r="J98" s="5"/>
      <c r="K98" s="7"/>
      <c r="L98" s="6"/>
      <c r="M98" s="5"/>
    </row>
    <row r="99" spans="1:13" x14ac:dyDescent="0.55000000000000004">
      <c r="A99" s="6"/>
      <c r="B99" s="8"/>
      <c r="E99" s="6"/>
      <c r="F99" s="6"/>
      <c r="G99" s="8"/>
      <c r="J99" s="5"/>
      <c r="K99" s="7"/>
      <c r="L99" s="6"/>
      <c r="M99" s="5"/>
    </row>
    <row r="100" spans="1:13" x14ac:dyDescent="0.55000000000000004">
      <c r="A100" s="6"/>
      <c r="B100" s="8"/>
      <c r="E100" s="6"/>
      <c r="F100" s="6"/>
      <c r="G100" s="8"/>
      <c r="J100" s="5"/>
      <c r="K100" s="7"/>
      <c r="L100" s="6"/>
      <c r="M100" s="5"/>
    </row>
    <row r="101" spans="1:13" x14ac:dyDescent="0.55000000000000004">
      <c r="A101" s="6"/>
      <c r="B101" s="8"/>
      <c r="E101" s="6"/>
      <c r="F101" s="6"/>
      <c r="G101" s="8"/>
      <c r="J101" s="5"/>
      <c r="K101" s="7"/>
      <c r="L101" s="6"/>
      <c r="M101" s="5"/>
    </row>
    <row r="102" spans="1:13" x14ac:dyDescent="0.55000000000000004">
      <c r="A102" s="6"/>
      <c r="B102" s="8"/>
      <c r="E102" s="6"/>
      <c r="F102" s="6"/>
      <c r="G102" s="8"/>
      <c r="J102" s="5"/>
      <c r="K102" s="7"/>
      <c r="L102" s="6"/>
      <c r="M102" s="5"/>
    </row>
    <row r="103" spans="1:13" x14ac:dyDescent="0.55000000000000004">
      <c r="A103" s="6"/>
      <c r="B103" s="8"/>
      <c r="E103" s="6"/>
      <c r="F103" s="6"/>
      <c r="G103" s="8"/>
      <c r="J103" s="5"/>
      <c r="K103" s="7"/>
      <c r="L103" s="6"/>
      <c r="M103" s="5"/>
    </row>
    <row r="104" spans="1:13" x14ac:dyDescent="0.55000000000000004">
      <c r="A104" s="6"/>
      <c r="B104" s="8"/>
      <c r="E104" s="6"/>
      <c r="F104" s="6"/>
      <c r="G104" s="8"/>
      <c r="J104" s="5"/>
      <c r="K104" s="7"/>
      <c r="L104" s="6"/>
      <c r="M104" s="5"/>
    </row>
    <row r="105" spans="1:13" x14ac:dyDescent="0.55000000000000004">
      <c r="A105" s="6"/>
      <c r="B105" s="8"/>
      <c r="E105" s="6"/>
      <c r="F105" s="6"/>
      <c r="G105" s="8"/>
      <c r="J105" s="5"/>
      <c r="K105" s="7"/>
      <c r="L105" s="6"/>
      <c r="M105" s="5"/>
    </row>
    <row r="106" spans="1:13" x14ac:dyDescent="0.55000000000000004">
      <c r="A106" s="6"/>
      <c r="B106" s="8"/>
      <c r="E106" s="6"/>
      <c r="F106" s="6"/>
      <c r="G106" s="8"/>
      <c r="J106" s="5"/>
      <c r="K106" s="7"/>
      <c r="L106" s="6"/>
      <c r="M106" s="5"/>
    </row>
    <row r="107" spans="1:13" x14ac:dyDescent="0.55000000000000004">
      <c r="A107" s="6"/>
      <c r="B107" s="8"/>
      <c r="E107" s="6"/>
      <c r="F107" s="6"/>
      <c r="G107" s="8"/>
      <c r="J107" s="5"/>
      <c r="K107" s="7"/>
      <c r="L107" s="6"/>
      <c r="M107" s="5"/>
    </row>
    <row r="108" spans="1:13" x14ac:dyDescent="0.55000000000000004">
      <c r="A108" s="6"/>
      <c r="B108" s="8"/>
      <c r="E108" s="6"/>
      <c r="F108" s="6"/>
      <c r="G108" s="8"/>
      <c r="J108" s="5"/>
      <c r="K108" s="7"/>
      <c r="L108" s="6"/>
      <c r="M108" s="5"/>
    </row>
    <row r="109" spans="1:13" x14ac:dyDescent="0.55000000000000004">
      <c r="A109" s="6"/>
      <c r="B109" s="8"/>
      <c r="E109" s="6"/>
      <c r="F109" s="6"/>
      <c r="G109" s="8"/>
      <c r="J109" s="5"/>
      <c r="K109" s="7"/>
      <c r="L109" s="6"/>
      <c r="M109" s="5"/>
    </row>
    <row r="110" spans="1:13" x14ac:dyDescent="0.55000000000000004">
      <c r="A110" s="6"/>
      <c r="B110" s="8"/>
      <c r="E110" s="6"/>
      <c r="F110" s="6"/>
      <c r="G110" s="8"/>
      <c r="J110" s="5"/>
      <c r="K110" s="7"/>
      <c r="L110" s="6"/>
      <c r="M110" s="5"/>
    </row>
    <row r="111" spans="1:13" x14ac:dyDescent="0.55000000000000004">
      <c r="A111" s="6"/>
      <c r="B111" s="8"/>
      <c r="E111" s="6"/>
      <c r="F111" s="6"/>
      <c r="G111" s="8"/>
      <c r="J111" s="5"/>
      <c r="K111" s="7"/>
      <c r="L111" s="6"/>
      <c r="M111" s="5"/>
    </row>
    <row r="112" spans="1:13" x14ac:dyDescent="0.55000000000000004">
      <c r="A112" s="6"/>
      <c r="B112" s="8"/>
      <c r="E112" s="6"/>
      <c r="F112" s="6"/>
      <c r="G112" s="8"/>
      <c r="J112" s="5"/>
      <c r="K112" s="7"/>
      <c r="L112" s="6"/>
      <c r="M112" s="5"/>
    </row>
    <row r="113" spans="1:13" x14ac:dyDescent="0.55000000000000004">
      <c r="A113" s="6"/>
      <c r="B113" s="8"/>
      <c r="E113" s="6"/>
      <c r="F113" s="6"/>
      <c r="G113" s="8"/>
      <c r="J113" s="5"/>
      <c r="K113" s="7"/>
      <c r="L113" s="6"/>
      <c r="M113" s="5"/>
    </row>
    <row r="114" spans="1:13" x14ac:dyDescent="0.55000000000000004">
      <c r="A114" s="6"/>
      <c r="B114" s="8"/>
      <c r="E114" s="6"/>
      <c r="F114" s="6"/>
      <c r="G114" s="8"/>
      <c r="J114" s="5"/>
      <c r="K114" s="7"/>
      <c r="L114" s="6"/>
      <c r="M114" s="5"/>
    </row>
    <row r="115" spans="1:13" x14ac:dyDescent="0.55000000000000004">
      <c r="A115" s="6"/>
      <c r="B115" s="8"/>
      <c r="E115" s="6"/>
      <c r="F115" s="6"/>
      <c r="G115" s="8"/>
      <c r="J115" s="5"/>
      <c r="K115" s="7"/>
      <c r="L115" s="6"/>
      <c r="M115" s="5"/>
    </row>
    <row r="116" spans="1:13" x14ac:dyDescent="0.55000000000000004">
      <c r="A116" s="6"/>
      <c r="B116" s="8"/>
      <c r="E116" s="6"/>
      <c r="F116" s="6"/>
      <c r="G116" s="8"/>
      <c r="J116" s="5"/>
      <c r="K116" s="7"/>
      <c r="L116" s="6"/>
      <c r="M116" s="5"/>
    </row>
    <row r="117" spans="1:13" x14ac:dyDescent="0.55000000000000004">
      <c r="A117" s="6"/>
      <c r="B117" s="8"/>
      <c r="E117" s="6"/>
      <c r="F117" s="6"/>
      <c r="G117" s="8"/>
      <c r="J117" s="5"/>
      <c r="K117" s="7"/>
      <c r="L117" s="6"/>
      <c r="M117" s="5"/>
    </row>
    <row r="118" spans="1:13" x14ac:dyDescent="0.55000000000000004">
      <c r="A118" s="6"/>
      <c r="B118" s="8"/>
      <c r="E118" s="6"/>
      <c r="F118" s="6"/>
      <c r="G118" s="8"/>
      <c r="J118" s="5"/>
      <c r="K118" s="7"/>
      <c r="L118" s="6"/>
      <c r="M118" s="5"/>
    </row>
    <row r="119" spans="1:13" x14ac:dyDescent="0.55000000000000004">
      <c r="A119" s="6"/>
      <c r="B119" s="8"/>
      <c r="E119" s="6"/>
      <c r="F119" s="6"/>
      <c r="G119" s="8"/>
      <c r="J119" s="5"/>
      <c r="K119" s="7"/>
      <c r="L119" s="6"/>
      <c r="M119" s="5"/>
    </row>
    <row r="120" spans="1:13" x14ac:dyDescent="0.55000000000000004">
      <c r="A120" s="6"/>
      <c r="B120" s="8"/>
      <c r="E120" s="6"/>
      <c r="F120" s="6"/>
      <c r="G120" s="8"/>
      <c r="J120" s="5"/>
      <c r="K120" s="7"/>
      <c r="L120" s="6"/>
      <c r="M120" s="5"/>
    </row>
    <row r="121" spans="1:13" x14ac:dyDescent="0.55000000000000004">
      <c r="A121" s="6"/>
      <c r="B121" s="8"/>
      <c r="E121" s="6"/>
      <c r="F121" s="6"/>
      <c r="G121" s="8"/>
      <c r="J121" s="5"/>
      <c r="K121" s="7"/>
      <c r="L121" s="6"/>
      <c r="M121" s="5"/>
    </row>
    <row r="122" spans="1:13" x14ac:dyDescent="0.55000000000000004">
      <c r="A122" s="6"/>
      <c r="B122" s="8"/>
      <c r="E122" s="6"/>
      <c r="F122" s="6"/>
      <c r="G122" s="8"/>
      <c r="J122" s="5"/>
      <c r="K122" s="7"/>
      <c r="L122" s="6"/>
      <c r="M122" s="5"/>
    </row>
    <row r="123" spans="1:13" x14ac:dyDescent="0.55000000000000004">
      <c r="A123" s="6"/>
      <c r="B123" s="8"/>
      <c r="E123" s="6"/>
      <c r="F123" s="6"/>
      <c r="G123" s="8"/>
      <c r="J123" s="5"/>
      <c r="K123" s="7"/>
      <c r="L123" s="6"/>
      <c r="M123" s="5"/>
    </row>
    <row r="124" spans="1:13" x14ac:dyDescent="0.55000000000000004">
      <c r="A124" s="6"/>
      <c r="B124" s="8"/>
      <c r="E124" s="6"/>
      <c r="F124" s="6"/>
      <c r="G124" s="8"/>
      <c r="J124" s="5"/>
      <c r="K124" s="7"/>
      <c r="L124" s="6"/>
      <c r="M124" s="5"/>
    </row>
    <row r="125" spans="1:13" x14ac:dyDescent="0.55000000000000004">
      <c r="A125" s="6"/>
      <c r="B125" s="8"/>
      <c r="E125" s="6"/>
      <c r="F125" s="6"/>
      <c r="G125" s="8"/>
      <c r="J125" s="5"/>
      <c r="K125" s="7"/>
      <c r="L125" s="6"/>
      <c r="M125" s="5"/>
    </row>
    <row r="126" spans="1:13" x14ac:dyDescent="0.55000000000000004">
      <c r="A126" s="6"/>
      <c r="B126" s="8"/>
      <c r="E126" s="6"/>
      <c r="F126" s="6"/>
      <c r="G126" s="8"/>
      <c r="J126" s="5"/>
      <c r="K126" s="7"/>
      <c r="L126" s="6"/>
      <c r="M126" s="5"/>
    </row>
    <row r="127" spans="1:13" x14ac:dyDescent="0.55000000000000004">
      <c r="A127" s="6"/>
      <c r="B127" s="8"/>
      <c r="E127" s="6"/>
      <c r="F127" s="6"/>
      <c r="G127" s="8"/>
      <c r="J127" s="5"/>
      <c r="K127" s="7"/>
      <c r="L127" s="6"/>
      <c r="M127" s="5"/>
    </row>
    <row r="128" spans="1:13" x14ac:dyDescent="0.55000000000000004">
      <c r="A128" s="6"/>
      <c r="B128" s="8"/>
      <c r="E128" s="6"/>
      <c r="F128" s="6"/>
      <c r="G128" s="8"/>
      <c r="J128" s="5"/>
      <c r="K128" s="7"/>
      <c r="L128" s="6"/>
      <c r="M128" s="5"/>
    </row>
    <row r="129" spans="1:13" x14ac:dyDescent="0.55000000000000004">
      <c r="A129" s="6"/>
      <c r="B129" s="8"/>
      <c r="E129" s="6"/>
      <c r="F129" s="6"/>
      <c r="G129" s="8"/>
      <c r="J129" s="5"/>
      <c r="K129" s="7"/>
      <c r="L129" s="6"/>
      <c r="M129" s="5"/>
    </row>
    <row r="130" spans="1:13" x14ac:dyDescent="0.55000000000000004">
      <c r="A130" s="6"/>
      <c r="B130" s="8"/>
      <c r="E130" s="6"/>
      <c r="F130" s="6"/>
      <c r="G130" s="8"/>
      <c r="J130" s="5"/>
      <c r="K130" s="7"/>
      <c r="L130" s="6"/>
      <c r="M130" s="5"/>
    </row>
    <row r="131" spans="1:13" x14ac:dyDescent="0.55000000000000004">
      <c r="A131" s="6"/>
      <c r="B131" s="8"/>
      <c r="E131" s="6"/>
      <c r="F131" s="6"/>
      <c r="G131" s="8"/>
      <c r="J131" s="5"/>
      <c r="K131" s="7"/>
      <c r="L131" s="6"/>
      <c r="M131" s="5"/>
    </row>
    <row r="132" spans="1:13" x14ac:dyDescent="0.55000000000000004">
      <c r="A132" s="6"/>
      <c r="B132" s="8"/>
      <c r="E132" s="6"/>
      <c r="F132" s="6"/>
      <c r="G132" s="8"/>
      <c r="J132" s="5"/>
      <c r="K132" s="7"/>
      <c r="L132" s="6"/>
      <c r="M132" s="5"/>
    </row>
    <row r="133" spans="1:13" x14ac:dyDescent="0.55000000000000004">
      <c r="A133" s="6"/>
      <c r="B133" s="8"/>
      <c r="E133" s="6"/>
      <c r="F133" s="6"/>
      <c r="G133" s="8"/>
      <c r="J133" s="5"/>
      <c r="K133" s="7"/>
      <c r="L133" s="6"/>
      <c r="M133" s="5"/>
    </row>
    <row r="134" spans="1:13" x14ac:dyDescent="0.55000000000000004">
      <c r="A134" s="6"/>
      <c r="B134" s="8"/>
      <c r="E134" s="6"/>
      <c r="F134" s="6"/>
      <c r="G134" s="8"/>
      <c r="J134" s="5"/>
      <c r="K134" s="7"/>
      <c r="L134" s="6"/>
      <c r="M134" s="5"/>
    </row>
    <row r="135" spans="1:13" x14ac:dyDescent="0.55000000000000004">
      <c r="A135" s="6"/>
      <c r="B135" s="8"/>
      <c r="E135" s="6"/>
      <c r="F135" s="6"/>
      <c r="G135" s="8"/>
      <c r="J135" s="5"/>
      <c r="K135" s="7"/>
      <c r="L135" s="6"/>
      <c r="M135" s="5"/>
    </row>
    <row r="136" spans="1:13" x14ac:dyDescent="0.55000000000000004">
      <c r="A136" s="6"/>
      <c r="B136" s="8"/>
      <c r="E136" s="6"/>
      <c r="F136" s="6"/>
      <c r="G136" s="8"/>
      <c r="J136" s="5"/>
      <c r="K136" s="7"/>
      <c r="L136" s="6"/>
      <c r="M136" s="5"/>
    </row>
    <row r="137" spans="1:13" x14ac:dyDescent="0.55000000000000004">
      <c r="A137" s="6"/>
      <c r="B137" s="8"/>
      <c r="E137" s="6"/>
      <c r="F137" s="6"/>
      <c r="G137" s="8"/>
      <c r="J137" s="5"/>
      <c r="K137" s="7"/>
      <c r="L137" s="6"/>
      <c r="M137" s="5"/>
    </row>
    <row r="138" spans="1:13" x14ac:dyDescent="0.55000000000000004">
      <c r="A138" s="6"/>
      <c r="B138" s="8"/>
      <c r="E138" s="6"/>
      <c r="F138" s="6"/>
      <c r="G138" s="8"/>
      <c r="J138" s="5"/>
      <c r="K138" s="7"/>
      <c r="L138" s="6"/>
      <c r="M138" s="5"/>
    </row>
    <row r="139" spans="1:13" x14ac:dyDescent="0.55000000000000004">
      <c r="A139" s="6"/>
      <c r="B139" s="8"/>
      <c r="E139" s="6"/>
      <c r="F139" s="6"/>
      <c r="G139" s="8"/>
      <c r="J139" s="5"/>
      <c r="K139" s="7"/>
      <c r="L139" s="6"/>
      <c r="M139" s="5"/>
    </row>
    <row r="140" spans="1:13" x14ac:dyDescent="0.55000000000000004">
      <c r="A140" s="6"/>
      <c r="B140" s="8"/>
      <c r="E140" s="6"/>
      <c r="F140" s="6"/>
      <c r="G140" s="8"/>
      <c r="J140" s="5"/>
      <c r="K140" s="7"/>
      <c r="L140" s="6"/>
      <c r="M140" s="5"/>
    </row>
    <row r="141" spans="1:13" x14ac:dyDescent="0.55000000000000004">
      <c r="A141" s="6"/>
      <c r="B141" s="8"/>
      <c r="E141" s="6"/>
      <c r="F141" s="6"/>
      <c r="G141" s="8"/>
      <c r="J141" s="5"/>
      <c r="K141" s="7"/>
      <c r="L141" s="6"/>
      <c r="M141" s="5"/>
    </row>
    <row r="142" spans="1:13" x14ac:dyDescent="0.55000000000000004">
      <c r="A142" s="6"/>
      <c r="B142" s="8"/>
      <c r="E142" s="6"/>
      <c r="F142" s="6"/>
      <c r="G142" s="8"/>
      <c r="J142" s="5"/>
      <c r="K142" s="7"/>
      <c r="L142" s="6"/>
      <c r="M142" s="5"/>
    </row>
    <row r="143" spans="1:13" x14ac:dyDescent="0.55000000000000004">
      <c r="A143" s="6"/>
      <c r="B143" s="8"/>
      <c r="E143" s="6"/>
      <c r="F143" s="6"/>
      <c r="G143" s="8"/>
      <c r="J143" s="5"/>
      <c r="K143" s="7"/>
      <c r="L143" s="6"/>
      <c r="M143" s="5"/>
    </row>
    <row r="144" spans="1:13" x14ac:dyDescent="0.55000000000000004">
      <c r="A144" s="6"/>
      <c r="B144" s="8"/>
      <c r="E144" s="6"/>
      <c r="F144" s="6"/>
      <c r="G144" s="8"/>
      <c r="J144" s="5"/>
      <c r="K144" s="7"/>
      <c r="L144" s="6"/>
      <c r="M144" s="5"/>
    </row>
    <row r="145" spans="1:13" x14ac:dyDescent="0.55000000000000004">
      <c r="A145" s="6"/>
      <c r="B145" s="8"/>
      <c r="E145" s="6"/>
      <c r="F145" s="6"/>
      <c r="G145" s="8"/>
      <c r="J145" s="5"/>
      <c r="K145" s="7"/>
      <c r="L145" s="6"/>
      <c r="M145" s="5"/>
    </row>
    <row r="146" spans="1:13" x14ac:dyDescent="0.55000000000000004">
      <c r="A146" s="6"/>
      <c r="B146" s="8"/>
      <c r="E146" s="6"/>
      <c r="F146" s="6"/>
      <c r="G146" s="8"/>
      <c r="J146" s="5"/>
      <c r="K146" s="7"/>
      <c r="L146" s="6"/>
      <c r="M146" s="5"/>
    </row>
    <row r="147" spans="1:13" x14ac:dyDescent="0.55000000000000004">
      <c r="A147" s="6"/>
      <c r="B147" s="8"/>
      <c r="E147" s="6"/>
      <c r="F147" s="6"/>
      <c r="G147" s="8"/>
      <c r="J147" s="5"/>
      <c r="K147" s="7"/>
      <c r="L147" s="6"/>
      <c r="M147" s="5"/>
    </row>
    <row r="148" spans="1:13" x14ac:dyDescent="0.55000000000000004">
      <c r="A148" s="6"/>
      <c r="B148" s="8"/>
      <c r="E148" s="6"/>
      <c r="F148" s="6"/>
      <c r="G148" s="8"/>
      <c r="J148" s="5"/>
      <c r="K148" s="7"/>
      <c r="L148" s="6"/>
      <c r="M148" s="5"/>
    </row>
    <row r="149" spans="1:13" x14ac:dyDescent="0.55000000000000004">
      <c r="A149" s="6"/>
      <c r="B149" s="8"/>
      <c r="E149" s="6"/>
      <c r="F149" s="6"/>
      <c r="G149" s="8"/>
      <c r="J149" s="5"/>
      <c r="K149" s="7"/>
      <c r="L149" s="6"/>
      <c r="M149" s="5"/>
    </row>
    <row r="150" spans="1:13" x14ac:dyDescent="0.55000000000000004">
      <c r="A150" s="6"/>
      <c r="B150" s="8"/>
      <c r="E150" s="6"/>
      <c r="F150" s="6"/>
      <c r="G150" s="8"/>
      <c r="J150" s="5"/>
      <c r="K150" s="7"/>
      <c r="L150" s="6"/>
      <c r="M150" s="5"/>
    </row>
    <row r="151" spans="1:13" x14ac:dyDescent="0.55000000000000004">
      <c r="A151" s="6"/>
      <c r="B151" s="8"/>
      <c r="E151" s="6"/>
      <c r="F151" s="6"/>
      <c r="G151" s="8"/>
      <c r="J151" s="5"/>
      <c r="K151" s="7"/>
      <c r="L151" s="6"/>
      <c r="M151" s="5"/>
    </row>
    <row r="152" spans="1:13" x14ac:dyDescent="0.55000000000000004">
      <c r="A152" s="6"/>
      <c r="B152" s="8"/>
      <c r="E152" s="6"/>
      <c r="F152" s="6"/>
      <c r="G152" s="8"/>
      <c r="J152" s="5"/>
      <c r="K152" s="7"/>
      <c r="L152" s="6"/>
      <c r="M152" s="5"/>
    </row>
    <row r="153" spans="1:13" x14ac:dyDescent="0.55000000000000004">
      <c r="A153" s="6"/>
      <c r="B153" s="8"/>
      <c r="E153" s="6"/>
      <c r="F153" s="6"/>
      <c r="G153" s="8"/>
      <c r="J153" s="5"/>
      <c r="K153" s="7"/>
      <c r="L153" s="6"/>
      <c r="M153" s="5"/>
    </row>
    <row r="154" spans="1:13" x14ac:dyDescent="0.55000000000000004">
      <c r="A154" s="6"/>
      <c r="B154" s="8"/>
      <c r="E154" s="6"/>
      <c r="F154" s="6"/>
      <c r="G154" s="8"/>
      <c r="J154" s="5"/>
      <c r="K154" s="7"/>
      <c r="L154" s="6"/>
      <c r="M154" s="5"/>
    </row>
    <row r="155" spans="1:13" x14ac:dyDescent="0.55000000000000004">
      <c r="A155" s="6"/>
      <c r="B155" s="8"/>
      <c r="E155" s="6"/>
      <c r="F155" s="6"/>
      <c r="G155" s="8"/>
      <c r="J155" s="5"/>
      <c r="K155" s="7"/>
      <c r="L155" s="6"/>
      <c r="M155" s="5"/>
    </row>
    <row r="156" spans="1:13" x14ac:dyDescent="0.55000000000000004">
      <c r="A156" s="6"/>
      <c r="B156" s="8"/>
      <c r="E156" s="6"/>
      <c r="F156" s="6"/>
      <c r="G156" s="8"/>
      <c r="J156" s="5"/>
      <c r="K156" s="7"/>
      <c r="L156" s="6"/>
      <c r="M156" s="5"/>
    </row>
    <row r="157" spans="1:13" x14ac:dyDescent="0.55000000000000004">
      <c r="A157" s="6"/>
      <c r="B157" s="8"/>
      <c r="E157" s="6"/>
      <c r="F157" s="6"/>
      <c r="G157" s="8"/>
      <c r="J157" s="5"/>
      <c r="K157" s="7"/>
      <c r="L157" s="6"/>
      <c r="M157" s="5"/>
    </row>
    <row r="158" spans="1:13" x14ac:dyDescent="0.55000000000000004">
      <c r="A158" s="6"/>
      <c r="B158" s="8"/>
      <c r="E158" s="6"/>
      <c r="F158" s="6"/>
      <c r="G158" s="8"/>
      <c r="J158" s="5"/>
      <c r="K158" s="7"/>
      <c r="L158" s="6"/>
      <c r="M158" s="5"/>
    </row>
    <row r="159" spans="1:13" x14ac:dyDescent="0.55000000000000004">
      <c r="A159" s="6"/>
      <c r="B159" s="8"/>
      <c r="E159" s="6"/>
      <c r="F159" s="6"/>
      <c r="G159" s="8"/>
      <c r="J159" s="5"/>
      <c r="K159" s="7"/>
      <c r="L159" s="6"/>
      <c r="M159" s="5"/>
    </row>
    <row r="160" spans="1:13" x14ac:dyDescent="0.55000000000000004">
      <c r="A160" s="6"/>
      <c r="B160" s="8"/>
      <c r="E160" s="6"/>
      <c r="F160" s="6"/>
      <c r="G160" s="8"/>
      <c r="J160" s="5"/>
      <c r="K160" s="7"/>
      <c r="L160" s="6"/>
      <c r="M160" s="5"/>
    </row>
    <row r="161" spans="1:13" x14ac:dyDescent="0.55000000000000004">
      <c r="A161" s="6"/>
      <c r="B161" s="8"/>
      <c r="E161" s="6"/>
      <c r="F161" s="6"/>
      <c r="G161" s="8"/>
      <c r="J161" s="5"/>
      <c r="K161" s="7"/>
      <c r="L161" s="6"/>
      <c r="M161" s="5"/>
    </row>
    <row r="162" spans="1:13" x14ac:dyDescent="0.55000000000000004">
      <c r="A162" s="6"/>
      <c r="B162" s="8"/>
      <c r="E162" s="6"/>
      <c r="F162" s="6"/>
      <c r="G162" s="8"/>
      <c r="J162" s="5"/>
      <c r="K162" s="7"/>
      <c r="L162" s="6"/>
      <c r="M162" s="5"/>
    </row>
    <row r="163" spans="1:13" x14ac:dyDescent="0.55000000000000004">
      <c r="A163" s="6"/>
      <c r="B163" s="8"/>
      <c r="E163" s="6"/>
      <c r="F163" s="6"/>
      <c r="G163" s="8"/>
      <c r="J163" s="5"/>
      <c r="K163" s="7"/>
      <c r="L163" s="6"/>
      <c r="M163" s="5"/>
    </row>
    <row r="164" spans="1:13" x14ac:dyDescent="0.55000000000000004">
      <c r="A164" s="6"/>
      <c r="B164" s="8"/>
      <c r="E164" s="6"/>
      <c r="F164" s="6"/>
      <c r="G164" s="8"/>
      <c r="J164" s="5"/>
      <c r="K164" s="7"/>
      <c r="L164" s="6"/>
      <c r="M164" s="5"/>
    </row>
    <row r="165" spans="1:13" x14ac:dyDescent="0.55000000000000004">
      <c r="A165" s="6"/>
      <c r="B165" s="8"/>
      <c r="E165" s="6"/>
      <c r="F165" s="6"/>
      <c r="G165" s="8"/>
      <c r="J165" s="5"/>
      <c r="K165" s="7"/>
      <c r="L165" s="6"/>
      <c r="M165" s="5"/>
    </row>
    <row r="166" spans="1:13" x14ac:dyDescent="0.55000000000000004">
      <c r="A166" s="6"/>
      <c r="B166" s="8"/>
      <c r="E166" s="6"/>
      <c r="F166" s="6"/>
      <c r="G166" s="8"/>
      <c r="J166" s="5"/>
      <c r="K166" s="7"/>
      <c r="L166" s="6"/>
      <c r="M166" s="5"/>
    </row>
    <row r="167" spans="1:13" x14ac:dyDescent="0.55000000000000004">
      <c r="A167" s="6"/>
      <c r="B167" s="8"/>
      <c r="E167" s="6"/>
      <c r="F167" s="6"/>
      <c r="G167" s="8"/>
      <c r="J167" s="5"/>
      <c r="K167" s="7"/>
      <c r="L167" s="6"/>
      <c r="M167" s="5"/>
    </row>
    <row r="168" spans="1:13" x14ac:dyDescent="0.55000000000000004">
      <c r="A168" s="6"/>
      <c r="B168" s="8"/>
      <c r="E168" s="6"/>
      <c r="F168" s="6"/>
      <c r="G168" s="8"/>
      <c r="J168" s="5"/>
      <c r="K168" s="7"/>
      <c r="L168" s="6"/>
      <c r="M168" s="5"/>
    </row>
    <row r="169" spans="1:13" x14ac:dyDescent="0.55000000000000004">
      <c r="A169" s="6"/>
      <c r="B169" s="8"/>
      <c r="E169" s="6"/>
      <c r="F169" s="6"/>
      <c r="G169" s="8"/>
      <c r="J169" s="5"/>
      <c r="K169" s="7"/>
      <c r="L169" s="6"/>
      <c r="M169" s="5"/>
    </row>
    <row r="170" spans="1:13" x14ac:dyDescent="0.55000000000000004">
      <c r="A170" s="6"/>
      <c r="B170" s="8"/>
      <c r="E170" s="6"/>
      <c r="F170" s="6"/>
      <c r="G170" s="8"/>
      <c r="J170" s="5"/>
      <c r="K170" s="7"/>
      <c r="L170" s="6"/>
      <c r="M170" s="5"/>
    </row>
    <row r="171" spans="1:13" x14ac:dyDescent="0.55000000000000004">
      <c r="A171" s="6"/>
      <c r="B171" s="8"/>
      <c r="E171" s="6"/>
      <c r="F171" s="6"/>
      <c r="G171" s="8"/>
      <c r="J171" s="5"/>
      <c r="K171" s="7"/>
      <c r="L171" s="6"/>
      <c r="M171" s="5"/>
    </row>
    <row r="172" spans="1:13" x14ac:dyDescent="0.55000000000000004">
      <c r="A172" s="6"/>
      <c r="B172" s="8"/>
      <c r="E172" s="6"/>
      <c r="F172" s="6"/>
      <c r="G172" s="8"/>
      <c r="J172" s="5"/>
      <c r="K172" s="7"/>
      <c r="L172" s="6"/>
      <c r="M172" s="5"/>
    </row>
    <row r="173" spans="1:13" x14ac:dyDescent="0.55000000000000004">
      <c r="A173" s="6"/>
      <c r="B173" s="8"/>
      <c r="E173" s="6"/>
      <c r="F173" s="6"/>
      <c r="G173" s="8"/>
      <c r="J173" s="5"/>
      <c r="K173" s="7"/>
      <c r="L173" s="6"/>
      <c r="M173" s="5"/>
    </row>
    <row r="174" spans="1:13" x14ac:dyDescent="0.55000000000000004">
      <c r="A174" s="6"/>
      <c r="B174" s="8"/>
      <c r="E174" s="6"/>
      <c r="F174" s="6"/>
      <c r="G174" s="8"/>
      <c r="J174" s="5"/>
      <c r="K174" s="7"/>
      <c r="L174" s="6"/>
      <c r="M174" s="5"/>
    </row>
    <row r="175" spans="1:13" x14ac:dyDescent="0.55000000000000004">
      <c r="A175" s="6"/>
      <c r="B175" s="8"/>
      <c r="E175" s="6"/>
      <c r="F175" s="6"/>
      <c r="G175" s="8"/>
      <c r="J175" s="5"/>
      <c r="K175" s="7"/>
      <c r="L175" s="6"/>
      <c r="M175" s="5"/>
    </row>
    <row r="176" spans="1:13" x14ac:dyDescent="0.55000000000000004">
      <c r="A176" s="6"/>
      <c r="B176" s="8"/>
      <c r="E176" s="6"/>
      <c r="F176" s="6"/>
      <c r="G176" s="8"/>
      <c r="J176" s="5"/>
      <c r="K176" s="7"/>
      <c r="L176" s="6"/>
      <c r="M176" s="5"/>
    </row>
    <row r="177" spans="1:13" x14ac:dyDescent="0.55000000000000004">
      <c r="A177" s="6"/>
      <c r="B177" s="8"/>
      <c r="E177" s="6"/>
      <c r="F177" s="6"/>
      <c r="G177" s="8"/>
      <c r="J177" s="5"/>
      <c r="K177" s="7"/>
      <c r="L177" s="6"/>
      <c r="M177" s="5"/>
    </row>
    <row r="178" spans="1:13" x14ac:dyDescent="0.55000000000000004">
      <c r="A178" s="6"/>
      <c r="B178" s="8"/>
      <c r="E178" s="6"/>
      <c r="F178" s="6"/>
      <c r="G178" s="8"/>
      <c r="J178" s="5"/>
      <c r="K178" s="7"/>
      <c r="L178" s="6"/>
      <c r="M178" s="5"/>
    </row>
    <row r="179" spans="1:13" x14ac:dyDescent="0.55000000000000004">
      <c r="A179" s="6"/>
      <c r="B179" s="8"/>
      <c r="E179" s="6"/>
      <c r="F179" s="6"/>
      <c r="G179" s="8"/>
      <c r="J179" s="5"/>
      <c r="K179" s="7"/>
      <c r="L179" s="6"/>
      <c r="M179" s="5"/>
    </row>
    <row r="180" spans="1:13" x14ac:dyDescent="0.55000000000000004">
      <c r="A180" s="6"/>
      <c r="B180" s="8"/>
      <c r="E180" s="6"/>
      <c r="F180" s="6"/>
      <c r="G180" s="8"/>
      <c r="J180" s="5"/>
      <c r="K180" s="7"/>
      <c r="L180" s="6"/>
      <c r="M180" s="5"/>
    </row>
    <row r="181" spans="1:13" x14ac:dyDescent="0.55000000000000004">
      <c r="A181" s="6"/>
      <c r="B181" s="8"/>
      <c r="E181" s="6"/>
      <c r="F181" s="6"/>
      <c r="G181" s="8"/>
      <c r="J181" s="5"/>
      <c r="K181" s="7"/>
      <c r="L181" s="6"/>
      <c r="M181" s="5"/>
    </row>
    <row r="182" spans="1:13" x14ac:dyDescent="0.55000000000000004">
      <c r="A182" s="6"/>
      <c r="B182" s="8"/>
      <c r="E182" s="6"/>
      <c r="F182" s="6"/>
      <c r="G182" s="8"/>
      <c r="J182" s="5"/>
      <c r="K182" s="7"/>
      <c r="L182" s="6"/>
      <c r="M182" s="5"/>
    </row>
    <row r="183" spans="1:13" x14ac:dyDescent="0.55000000000000004">
      <c r="A183" s="6"/>
      <c r="B183" s="8"/>
      <c r="E183" s="6"/>
      <c r="F183" s="6"/>
      <c r="G183" s="8"/>
      <c r="J183" s="5"/>
      <c r="K183" s="7"/>
      <c r="L183" s="6"/>
      <c r="M183" s="5"/>
    </row>
    <row r="184" spans="1:13" x14ac:dyDescent="0.55000000000000004">
      <c r="A184" s="6"/>
      <c r="B184" s="8"/>
      <c r="E184" s="6"/>
      <c r="F184" s="6"/>
      <c r="G184" s="8"/>
      <c r="J184" s="5"/>
      <c r="K184" s="7"/>
      <c r="L184" s="6"/>
      <c r="M184" s="5"/>
    </row>
    <row r="185" spans="1:13" x14ac:dyDescent="0.55000000000000004">
      <c r="A185" s="6"/>
      <c r="B185" s="8"/>
      <c r="E185" s="6"/>
      <c r="F185" s="6"/>
      <c r="G185" s="8"/>
      <c r="J185" s="5"/>
      <c r="K185" s="7"/>
      <c r="L185" s="6"/>
      <c r="M185" s="5"/>
    </row>
    <row r="186" spans="1:13" x14ac:dyDescent="0.55000000000000004">
      <c r="A186" s="6"/>
      <c r="B186" s="8"/>
      <c r="E186" s="6"/>
      <c r="F186" s="6"/>
      <c r="G186" s="8"/>
      <c r="J186" s="5"/>
      <c r="K186" s="7"/>
      <c r="L186" s="6"/>
      <c r="M186" s="5"/>
    </row>
    <row r="187" spans="1:13" x14ac:dyDescent="0.55000000000000004">
      <c r="A187" s="6"/>
      <c r="B187" s="8"/>
      <c r="E187" s="6"/>
      <c r="F187" s="6"/>
      <c r="G187" s="8"/>
      <c r="J187" s="5"/>
      <c r="K187" s="7"/>
      <c r="L187" s="6"/>
      <c r="M187" s="5"/>
    </row>
    <row r="188" spans="1:13" x14ac:dyDescent="0.55000000000000004">
      <c r="A188" s="6"/>
      <c r="B188" s="8"/>
      <c r="E188" s="6"/>
      <c r="F188" s="6"/>
      <c r="G188" s="8"/>
      <c r="J188" s="5"/>
      <c r="K188" s="7"/>
      <c r="L188" s="6"/>
      <c r="M188" s="5"/>
    </row>
    <row r="189" spans="1:13" x14ac:dyDescent="0.55000000000000004">
      <c r="A189" s="6"/>
      <c r="B189" s="8"/>
      <c r="E189" s="6"/>
      <c r="F189" s="6"/>
      <c r="G189" s="8"/>
      <c r="J189" s="5"/>
      <c r="K189" s="7"/>
      <c r="L189" s="6"/>
      <c r="M189" s="5"/>
    </row>
    <row r="190" spans="1:13" x14ac:dyDescent="0.55000000000000004">
      <c r="A190" s="6"/>
      <c r="B190" s="8"/>
      <c r="E190" s="6"/>
      <c r="F190" s="6"/>
      <c r="G190" s="8"/>
      <c r="J190" s="5"/>
      <c r="K190" s="7"/>
      <c r="L190" s="6"/>
      <c r="M190" s="5"/>
    </row>
    <row r="191" spans="1:13" x14ac:dyDescent="0.55000000000000004">
      <c r="A191" s="6"/>
      <c r="B191" s="8"/>
      <c r="E191" s="6"/>
      <c r="F191" s="6"/>
      <c r="G191" s="8"/>
      <c r="J191" s="5"/>
      <c r="K191" s="7"/>
      <c r="L191" s="6"/>
      <c r="M191" s="5"/>
    </row>
    <row r="192" spans="1:13" x14ac:dyDescent="0.55000000000000004">
      <c r="A192" s="6"/>
      <c r="B192" s="8"/>
      <c r="E192" s="6"/>
      <c r="F192" s="6"/>
      <c r="G192" s="8"/>
      <c r="J192" s="5"/>
      <c r="K192" s="7"/>
      <c r="L192" s="6"/>
      <c r="M192" s="5"/>
    </row>
    <row r="193" spans="1:13" x14ac:dyDescent="0.55000000000000004">
      <c r="A193" s="6"/>
      <c r="B193" s="8"/>
      <c r="E193" s="6"/>
      <c r="F193" s="6"/>
      <c r="G193" s="8"/>
      <c r="J193" s="5"/>
      <c r="K193" s="7"/>
      <c r="L193" s="6"/>
      <c r="M193" s="5"/>
    </row>
    <row r="194" spans="1:13" x14ac:dyDescent="0.55000000000000004">
      <c r="A194" s="6"/>
      <c r="B194" s="8"/>
      <c r="E194" s="6"/>
      <c r="F194" s="6"/>
      <c r="G194" s="8"/>
      <c r="J194" s="5"/>
      <c r="K194" s="7"/>
      <c r="L194" s="6"/>
      <c r="M194" s="5"/>
    </row>
    <row r="195" spans="1:13" x14ac:dyDescent="0.55000000000000004">
      <c r="A195" s="6"/>
      <c r="B195" s="8"/>
      <c r="E195" s="6"/>
      <c r="F195" s="6"/>
      <c r="G195" s="8"/>
      <c r="J195" s="5"/>
      <c r="K195" s="7"/>
      <c r="L195" s="6"/>
      <c r="M195" s="5"/>
    </row>
    <row r="196" spans="1:13" x14ac:dyDescent="0.55000000000000004">
      <c r="A196" s="6"/>
      <c r="B196" s="8"/>
      <c r="E196" s="6"/>
      <c r="F196" s="6"/>
      <c r="G196" s="8"/>
      <c r="J196" s="5"/>
      <c r="K196" s="7"/>
      <c r="L196" s="6"/>
      <c r="M196" s="5"/>
    </row>
    <row r="197" spans="1:13" x14ac:dyDescent="0.55000000000000004">
      <c r="A197" s="6"/>
      <c r="B197" s="8"/>
      <c r="E197" s="6"/>
      <c r="F197" s="6"/>
      <c r="G197" s="8"/>
      <c r="J197" s="5"/>
      <c r="K197" s="7"/>
      <c r="L197" s="6"/>
      <c r="M197" s="5"/>
    </row>
    <row r="198" spans="1:13" x14ac:dyDescent="0.55000000000000004">
      <c r="A198" s="6"/>
      <c r="B198" s="8"/>
      <c r="E198" s="6"/>
      <c r="F198" s="6"/>
      <c r="G198" s="8"/>
      <c r="J198" s="5"/>
      <c r="K198" s="7"/>
      <c r="L198" s="6"/>
      <c r="M198" s="5"/>
    </row>
    <row r="199" spans="1:13" x14ac:dyDescent="0.55000000000000004">
      <c r="A199" s="6"/>
      <c r="B199" s="8"/>
      <c r="E199" s="6"/>
      <c r="F199" s="6"/>
      <c r="G199" s="8"/>
      <c r="J199" s="5"/>
      <c r="K199" s="7"/>
      <c r="L199" s="6"/>
      <c r="M199" s="5"/>
    </row>
    <row r="200" spans="1:13" x14ac:dyDescent="0.55000000000000004">
      <c r="A200" s="6"/>
      <c r="B200" s="8"/>
      <c r="E200" s="6"/>
      <c r="F200" s="6"/>
      <c r="G200" s="8"/>
      <c r="J200" s="5"/>
      <c r="K200" s="7"/>
      <c r="L200" s="6"/>
      <c r="M200" s="5"/>
    </row>
    <row r="201" spans="1:13" x14ac:dyDescent="0.55000000000000004">
      <c r="A201" s="6"/>
      <c r="B201" s="8"/>
      <c r="E201" s="6"/>
      <c r="F201" s="6"/>
      <c r="G201" s="8"/>
      <c r="J201" s="5"/>
      <c r="K201" s="7"/>
      <c r="L201" s="6"/>
      <c r="M201" s="5"/>
    </row>
    <row r="202" spans="1:13" x14ac:dyDescent="0.55000000000000004">
      <c r="A202" s="6"/>
      <c r="B202" s="8"/>
      <c r="E202" s="6"/>
      <c r="F202" s="6"/>
      <c r="G202" s="8"/>
      <c r="J202" s="5"/>
      <c r="K202" s="7"/>
      <c r="L202" s="6"/>
      <c r="M202" s="5"/>
    </row>
    <row r="203" spans="1:13" x14ac:dyDescent="0.55000000000000004">
      <c r="A203" s="6"/>
      <c r="B203" s="8"/>
      <c r="E203" s="6"/>
      <c r="F203" s="6"/>
      <c r="G203" s="8"/>
      <c r="J203" s="5"/>
      <c r="K203" s="7"/>
      <c r="L203" s="6"/>
      <c r="M203" s="5"/>
    </row>
    <row r="204" spans="1:13" x14ac:dyDescent="0.55000000000000004">
      <c r="A204" s="6"/>
      <c r="B204" s="8"/>
      <c r="E204" s="6"/>
      <c r="F204" s="6"/>
      <c r="G204" s="8"/>
      <c r="J204" s="5"/>
      <c r="K204" s="7"/>
      <c r="L204" s="6"/>
      <c r="M204" s="5"/>
    </row>
    <row r="205" spans="1:13" x14ac:dyDescent="0.55000000000000004">
      <c r="A205" s="6"/>
      <c r="B205" s="8"/>
      <c r="E205" s="6"/>
      <c r="F205" s="6"/>
      <c r="G205" s="8"/>
      <c r="J205" s="5"/>
      <c r="K205" s="7"/>
      <c r="L205" s="6"/>
      <c r="M205" s="5"/>
    </row>
    <row r="206" spans="1:13" x14ac:dyDescent="0.55000000000000004">
      <c r="A206" s="6"/>
      <c r="B206" s="8"/>
      <c r="E206" s="6"/>
      <c r="F206" s="6"/>
      <c r="G206" s="8"/>
      <c r="J206" s="5"/>
      <c r="K206" s="7"/>
      <c r="L206" s="6"/>
      <c r="M206" s="5"/>
    </row>
    <row r="207" spans="1:13" x14ac:dyDescent="0.55000000000000004">
      <c r="A207" s="6"/>
      <c r="B207" s="8"/>
      <c r="E207" s="6"/>
      <c r="F207" s="6"/>
      <c r="G207" s="8"/>
      <c r="J207" s="5"/>
      <c r="K207" s="7"/>
      <c r="L207" s="6"/>
      <c r="M207" s="5"/>
    </row>
    <row r="208" spans="1:13" x14ac:dyDescent="0.55000000000000004">
      <c r="A208" s="6"/>
      <c r="B208" s="8"/>
      <c r="E208" s="6"/>
      <c r="F208" s="6"/>
      <c r="G208" s="8"/>
      <c r="J208" s="5"/>
      <c r="K208" s="7"/>
      <c r="L208" s="6"/>
      <c r="M208" s="5"/>
    </row>
    <row r="209" spans="1:13" x14ac:dyDescent="0.55000000000000004">
      <c r="A209" s="6"/>
      <c r="B209" s="8"/>
      <c r="E209" s="6"/>
      <c r="F209" s="6"/>
      <c r="G209" s="8"/>
      <c r="J209" s="5"/>
      <c r="K209" s="7"/>
      <c r="L209" s="6"/>
      <c r="M209" s="5"/>
    </row>
    <row r="210" spans="1:13" x14ac:dyDescent="0.55000000000000004">
      <c r="A210" s="6"/>
      <c r="B210" s="8"/>
      <c r="E210" s="6"/>
      <c r="F210" s="6"/>
      <c r="G210" s="8"/>
      <c r="J210" s="5"/>
      <c r="K210" s="7"/>
      <c r="L210" s="6"/>
      <c r="M210" s="5"/>
    </row>
    <row r="211" spans="1:13" x14ac:dyDescent="0.55000000000000004">
      <c r="A211" s="6"/>
      <c r="B211" s="8"/>
      <c r="E211" s="6"/>
      <c r="F211" s="6"/>
      <c r="G211" s="8"/>
      <c r="J211" s="5"/>
      <c r="K211" s="7"/>
      <c r="L211" s="6"/>
      <c r="M211" s="5"/>
    </row>
    <row r="212" spans="1:13" x14ac:dyDescent="0.55000000000000004">
      <c r="A212" s="6"/>
      <c r="B212" s="8"/>
      <c r="E212" s="6"/>
      <c r="F212" s="6"/>
      <c r="G212" s="8"/>
      <c r="J212" s="5"/>
      <c r="K212" s="7"/>
      <c r="L212" s="6"/>
      <c r="M212" s="5"/>
    </row>
    <row r="213" spans="1:13" x14ac:dyDescent="0.55000000000000004">
      <c r="A213" s="6"/>
      <c r="B213" s="8"/>
      <c r="E213" s="6"/>
      <c r="F213" s="6"/>
      <c r="G213" s="8"/>
      <c r="J213" s="5"/>
      <c r="K213" s="7"/>
      <c r="L213" s="6"/>
      <c r="M213" s="5"/>
    </row>
    <row r="214" spans="1:13" x14ac:dyDescent="0.55000000000000004">
      <c r="A214" s="6"/>
      <c r="B214" s="8"/>
      <c r="E214" s="6"/>
      <c r="F214" s="6"/>
      <c r="G214" s="8"/>
      <c r="J214" s="5"/>
      <c r="K214" s="7"/>
      <c r="L214" s="6"/>
      <c r="M214" s="5"/>
    </row>
    <row r="215" spans="1:13" x14ac:dyDescent="0.55000000000000004">
      <c r="A215" s="6"/>
      <c r="B215" s="8"/>
      <c r="E215" s="6"/>
      <c r="F215" s="6"/>
      <c r="G215" s="8"/>
      <c r="J215" s="5"/>
      <c r="K215" s="7"/>
      <c r="L215" s="6"/>
      <c r="M215" s="5"/>
    </row>
    <row r="216" spans="1:13" x14ac:dyDescent="0.55000000000000004">
      <c r="A216" s="6"/>
      <c r="B216" s="8"/>
      <c r="E216" s="6"/>
      <c r="F216" s="6"/>
      <c r="G216" s="8"/>
      <c r="J216" s="5"/>
      <c r="K216" s="7"/>
      <c r="L216" s="6"/>
      <c r="M216" s="5"/>
    </row>
    <row r="217" spans="1:13" x14ac:dyDescent="0.55000000000000004">
      <c r="A217" s="6"/>
      <c r="B217" s="8"/>
      <c r="E217" s="6"/>
      <c r="F217" s="6"/>
      <c r="G217" s="8"/>
      <c r="J217" s="5"/>
      <c r="K217" s="7"/>
      <c r="L217" s="6"/>
      <c r="M217" s="5"/>
    </row>
    <row r="218" spans="1:13" x14ac:dyDescent="0.55000000000000004">
      <c r="A218" s="6"/>
      <c r="B218" s="8"/>
      <c r="E218" s="6"/>
      <c r="F218" s="6"/>
      <c r="G218" s="8"/>
      <c r="J218" s="5"/>
      <c r="K218" s="7"/>
      <c r="L218" s="6"/>
      <c r="M218" s="5"/>
    </row>
    <row r="219" spans="1:13" x14ac:dyDescent="0.55000000000000004">
      <c r="A219" s="6"/>
      <c r="B219" s="8"/>
      <c r="E219" s="6"/>
      <c r="F219" s="6"/>
      <c r="G219" s="8"/>
      <c r="J219" s="5"/>
      <c r="K219" s="7"/>
      <c r="L219" s="6"/>
      <c r="M219" s="5"/>
    </row>
    <row r="220" spans="1:13" x14ac:dyDescent="0.55000000000000004">
      <c r="A220" s="6"/>
      <c r="B220" s="8"/>
      <c r="E220" s="6"/>
      <c r="F220" s="6"/>
      <c r="G220" s="8"/>
      <c r="J220" s="5"/>
      <c r="K220" s="7"/>
      <c r="L220" s="6"/>
      <c r="M220" s="5"/>
    </row>
    <row r="221" spans="1:13" x14ac:dyDescent="0.55000000000000004">
      <c r="A221" s="6"/>
      <c r="B221" s="8"/>
      <c r="E221" s="6"/>
      <c r="F221" s="6"/>
      <c r="G221" s="8"/>
      <c r="J221" s="5"/>
      <c r="K221" s="7"/>
      <c r="L221" s="6"/>
      <c r="M221" s="5"/>
    </row>
    <row r="222" spans="1:13" x14ac:dyDescent="0.55000000000000004">
      <c r="A222" s="6"/>
      <c r="B222" s="8"/>
      <c r="E222" s="6"/>
      <c r="F222" s="6"/>
      <c r="G222" s="8"/>
      <c r="J222" s="5"/>
      <c r="K222" s="7"/>
      <c r="L222" s="6"/>
      <c r="M222" s="5"/>
    </row>
    <row r="223" spans="1:13" x14ac:dyDescent="0.55000000000000004">
      <c r="A223" s="6"/>
      <c r="B223" s="8"/>
      <c r="E223" s="6"/>
      <c r="F223" s="6"/>
      <c r="G223" s="8"/>
      <c r="J223" s="5"/>
      <c r="K223" s="7"/>
      <c r="L223" s="6"/>
      <c r="M223" s="5"/>
    </row>
    <row r="224" spans="1:13" x14ac:dyDescent="0.55000000000000004">
      <c r="A224" s="6"/>
      <c r="B224" s="8"/>
      <c r="E224" s="6"/>
      <c r="F224" s="6"/>
      <c r="G224" s="8"/>
      <c r="J224" s="5"/>
      <c r="K224" s="7"/>
      <c r="L224" s="6"/>
      <c r="M224" s="5"/>
    </row>
    <row r="225" spans="1:13" x14ac:dyDescent="0.55000000000000004">
      <c r="A225" s="6"/>
      <c r="B225" s="8"/>
      <c r="E225" s="6"/>
      <c r="F225" s="6"/>
      <c r="G225" s="8"/>
      <c r="J225" s="5"/>
      <c r="K225" s="7"/>
      <c r="L225" s="6"/>
      <c r="M225" s="5"/>
    </row>
    <row r="226" spans="1:13" x14ac:dyDescent="0.55000000000000004">
      <c r="A226" s="6"/>
      <c r="B226" s="8"/>
      <c r="E226" s="6"/>
      <c r="F226" s="6"/>
      <c r="G226" s="8"/>
      <c r="J226" s="5"/>
      <c r="K226" s="7"/>
      <c r="L226" s="6"/>
      <c r="M226" s="5"/>
    </row>
    <row r="227" spans="1:13" x14ac:dyDescent="0.55000000000000004">
      <c r="A227" s="6"/>
      <c r="B227" s="8"/>
      <c r="E227" s="6"/>
      <c r="F227" s="6"/>
      <c r="G227" s="8"/>
      <c r="J227" s="5"/>
      <c r="K227" s="7"/>
      <c r="L227" s="6"/>
      <c r="M227" s="5"/>
    </row>
    <row r="228" spans="1:13" x14ac:dyDescent="0.55000000000000004">
      <c r="A228" s="6"/>
      <c r="B228" s="8"/>
      <c r="E228" s="6"/>
      <c r="F228" s="6"/>
      <c r="G228" s="8"/>
      <c r="J228" s="5"/>
      <c r="K228" s="7"/>
      <c r="L228" s="6"/>
      <c r="M228" s="5"/>
    </row>
    <row r="229" spans="1:13" x14ac:dyDescent="0.55000000000000004">
      <c r="A229" s="6"/>
      <c r="B229" s="8"/>
      <c r="E229" s="6"/>
      <c r="F229" s="6"/>
      <c r="G229" s="8"/>
      <c r="J229" s="5"/>
      <c r="K229" s="7"/>
      <c r="L229" s="6"/>
      <c r="M229" s="5"/>
    </row>
    <row r="230" spans="1:13" x14ac:dyDescent="0.55000000000000004">
      <c r="A230" s="6"/>
      <c r="B230" s="8"/>
      <c r="E230" s="6"/>
      <c r="F230" s="6"/>
      <c r="G230" s="8"/>
      <c r="J230" s="5"/>
      <c r="K230" s="7"/>
      <c r="L230" s="6"/>
      <c r="M230" s="5"/>
    </row>
    <row r="231" spans="1:13" x14ac:dyDescent="0.55000000000000004">
      <c r="A231" s="6"/>
      <c r="B231" s="8"/>
      <c r="E231" s="6"/>
      <c r="F231" s="6"/>
      <c r="G231" s="8"/>
      <c r="J231" s="5"/>
      <c r="K231" s="7"/>
      <c r="L231" s="6"/>
      <c r="M231" s="5"/>
    </row>
    <row r="232" spans="1:13" x14ac:dyDescent="0.55000000000000004">
      <c r="A232" s="6"/>
      <c r="B232" s="8"/>
      <c r="E232" s="6"/>
      <c r="F232" s="6"/>
      <c r="G232" s="8"/>
      <c r="J232" s="5"/>
      <c r="K232" s="7"/>
      <c r="L232" s="6"/>
      <c r="M232" s="5"/>
    </row>
    <row r="233" spans="1:13" x14ac:dyDescent="0.55000000000000004">
      <c r="A233" s="6"/>
      <c r="B233" s="8"/>
      <c r="E233" s="6"/>
      <c r="F233" s="6"/>
      <c r="G233" s="8"/>
      <c r="J233" s="5"/>
      <c r="K233" s="7"/>
      <c r="L233" s="6"/>
      <c r="M233" s="5"/>
    </row>
    <row r="234" spans="1:13" x14ac:dyDescent="0.55000000000000004">
      <c r="A234" s="6"/>
      <c r="B234" s="8"/>
      <c r="E234" s="6"/>
      <c r="F234" s="6"/>
      <c r="G234" s="8"/>
      <c r="J234" s="5"/>
      <c r="K234" s="7"/>
      <c r="L234" s="6"/>
      <c r="M234" s="5"/>
    </row>
    <row r="235" spans="1:13" x14ac:dyDescent="0.55000000000000004">
      <c r="A235" s="6"/>
      <c r="B235" s="8"/>
      <c r="E235" s="6"/>
      <c r="F235" s="6"/>
      <c r="G235" s="8"/>
      <c r="J235" s="5"/>
      <c r="K235" s="7"/>
      <c r="L235" s="6"/>
      <c r="M235" s="5"/>
    </row>
    <row r="236" spans="1:13" x14ac:dyDescent="0.55000000000000004">
      <c r="A236" s="6"/>
      <c r="B236" s="8"/>
      <c r="E236" s="6"/>
      <c r="F236" s="6"/>
      <c r="G236" s="8"/>
      <c r="J236" s="5"/>
      <c r="K236" s="7"/>
      <c r="L236" s="6"/>
      <c r="M236" s="5"/>
    </row>
    <row r="237" spans="1:13" x14ac:dyDescent="0.55000000000000004">
      <c r="A237" s="6"/>
      <c r="B237" s="8"/>
      <c r="E237" s="6"/>
      <c r="F237" s="6"/>
      <c r="G237" s="8"/>
      <c r="J237" s="5"/>
      <c r="K237" s="7"/>
      <c r="L237" s="6"/>
      <c r="M237" s="5"/>
    </row>
    <row r="238" spans="1:13" x14ac:dyDescent="0.55000000000000004">
      <c r="A238" s="6"/>
      <c r="B238" s="8"/>
      <c r="E238" s="6"/>
      <c r="F238" s="6"/>
      <c r="G238" s="8"/>
      <c r="J238" s="5"/>
      <c r="K238" s="7"/>
      <c r="L238" s="6"/>
      <c r="M238" s="5"/>
    </row>
    <row r="239" spans="1:13" x14ac:dyDescent="0.55000000000000004">
      <c r="A239" s="6"/>
      <c r="B239" s="8"/>
      <c r="E239" s="6"/>
      <c r="F239" s="6"/>
      <c r="G239" s="8"/>
      <c r="J239" s="5"/>
      <c r="K239" s="7"/>
      <c r="L239" s="6"/>
      <c r="M239" s="5"/>
    </row>
    <row r="240" spans="1:13" x14ac:dyDescent="0.55000000000000004">
      <c r="A240" s="6"/>
      <c r="B240" s="8"/>
      <c r="E240" s="6"/>
      <c r="F240" s="6"/>
      <c r="G240" s="8"/>
      <c r="J240" s="5"/>
      <c r="K240" s="7"/>
      <c r="L240" s="6"/>
      <c r="M240" s="5"/>
    </row>
    <row r="241" spans="1:13" x14ac:dyDescent="0.55000000000000004">
      <c r="A241" s="6"/>
      <c r="B241" s="8"/>
      <c r="E241" s="6"/>
      <c r="F241" s="6"/>
      <c r="G241" s="8"/>
      <c r="J241" s="5"/>
      <c r="K241" s="7"/>
      <c r="L241" s="6"/>
      <c r="M241" s="5"/>
    </row>
    <row r="242" spans="1:13" x14ac:dyDescent="0.55000000000000004">
      <c r="A242" s="6"/>
      <c r="B242" s="8"/>
      <c r="E242" s="6"/>
      <c r="F242" s="6"/>
      <c r="G242" s="8"/>
      <c r="J242" s="5"/>
      <c r="K242" s="7"/>
      <c r="L242" s="6"/>
      <c r="M242" s="5"/>
    </row>
    <row r="243" spans="1:13" x14ac:dyDescent="0.55000000000000004">
      <c r="A243" s="6"/>
      <c r="B243" s="8"/>
      <c r="E243" s="6"/>
      <c r="F243" s="6"/>
      <c r="G243" s="8"/>
      <c r="J243" s="5"/>
      <c r="K243" s="7"/>
      <c r="L243" s="6"/>
      <c r="M243" s="5"/>
    </row>
    <row r="244" spans="1:13" x14ac:dyDescent="0.55000000000000004">
      <c r="A244" s="6"/>
      <c r="B244" s="8"/>
      <c r="E244" s="6"/>
      <c r="F244" s="6"/>
      <c r="G244" s="8"/>
      <c r="J244" s="5"/>
      <c r="K244" s="7"/>
      <c r="L244" s="6"/>
      <c r="M244" s="5"/>
    </row>
    <row r="245" spans="1:13" x14ac:dyDescent="0.55000000000000004">
      <c r="A245" s="6"/>
      <c r="B245" s="8"/>
      <c r="E245" s="6"/>
      <c r="F245" s="6"/>
      <c r="G245" s="8"/>
      <c r="J245" s="5"/>
      <c r="K245" s="7"/>
      <c r="L245" s="6"/>
      <c r="M245" s="5"/>
    </row>
    <row r="246" spans="1:13" x14ac:dyDescent="0.55000000000000004">
      <c r="A246" s="6"/>
      <c r="B246" s="8"/>
      <c r="E246" s="6"/>
      <c r="F246" s="6"/>
      <c r="G246" s="8"/>
      <c r="J246" s="5"/>
      <c r="K246" s="7"/>
      <c r="L246" s="6"/>
      <c r="M246" s="5"/>
    </row>
    <row r="247" spans="1:13" x14ac:dyDescent="0.55000000000000004">
      <c r="A247" s="6"/>
      <c r="B247" s="8"/>
      <c r="E247" s="6"/>
      <c r="F247" s="6"/>
      <c r="G247" s="8"/>
      <c r="J247" s="5"/>
      <c r="K247" s="7"/>
      <c r="L247" s="6"/>
      <c r="M247" s="5"/>
    </row>
    <row r="248" spans="1:13" x14ac:dyDescent="0.55000000000000004">
      <c r="A248" s="6"/>
      <c r="B248" s="8"/>
      <c r="E248" s="6"/>
      <c r="F248" s="6"/>
      <c r="G248" s="8"/>
      <c r="J248" s="5"/>
      <c r="K248" s="7"/>
      <c r="L248" s="6"/>
      <c r="M248" s="5"/>
    </row>
    <row r="249" spans="1:13" x14ac:dyDescent="0.55000000000000004">
      <c r="A249" s="6"/>
      <c r="B249" s="8"/>
      <c r="E249" s="6"/>
      <c r="F249" s="6"/>
      <c r="G249" s="8"/>
      <c r="J249" s="5"/>
      <c r="K249" s="7"/>
      <c r="L249" s="6"/>
      <c r="M249" s="5"/>
    </row>
    <row r="250" spans="1:13" x14ac:dyDescent="0.55000000000000004">
      <c r="A250" s="6"/>
      <c r="B250" s="8"/>
      <c r="E250" s="6"/>
      <c r="F250" s="6"/>
      <c r="G250" s="8"/>
      <c r="J250" s="5"/>
      <c r="K250" s="7"/>
      <c r="L250" s="6"/>
      <c r="M250" s="5"/>
    </row>
    <row r="251" spans="1:13" x14ac:dyDescent="0.55000000000000004">
      <c r="A251" s="6"/>
      <c r="B251" s="8"/>
      <c r="E251" s="6"/>
      <c r="F251" s="6"/>
      <c r="G251" s="8"/>
      <c r="J251" s="5"/>
      <c r="K251" s="7"/>
      <c r="L251" s="6"/>
      <c r="M251" s="5"/>
    </row>
    <row r="252" spans="1:13" x14ac:dyDescent="0.55000000000000004">
      <c r="A252" s="6"/>
      <c r="B252" s="8"/>
      <c r="E252" s="6"/>
      <c r="F252" s="6"/>
      <c r="G252" s="8"/>
      <c r="J252" s="5"/>
      <c r="K252" s="7"/>
      <c r="L252" s="6"/>
      <c r="M252" s="5"/>
    </row>
    <row r="253" spans="1:13" x14ac:dyDescent="0.55000000000000004">
      <c r="A253" s="6"/>
      <c r="B253" s="8"/>
      <c r="E253" s="6"/>
      <c r="F253" s="6"/>
      <c r="G253" s="8"/>
      <c r="J253" s="5"/>
      <c r="K253" s="7"/>
      <c r="L253" s="6"/>
      <c r="M253" s="5"/>
    </row>
    <row r="254" spans="1:13" x14ac:dyDescent="0.55000000000000004">
      <c r="A254" s="6"/>
      <c r="B254" s="8"/>
      <c r="E254" s="6"/>
      <c r="F254" s="6"/>
      <c r="G254" s="8"/>
      <c r="J254" s="5"/>
      <c r="K254" s="7"/>
      <c r="L254" s="6"/>
      <c r="M254" s="5"/>
    </row>
    <row r="255" spans="1:13" x14ac:dyDescent="0.55000000000000004">
      <c r="A255" s="6"/>
      <c r="B255" s="8"/>
      <c r="E255" s="6"/>
      <c r="F255" s="6"/>
      <c r="G255" s="8"/>
      <c r="J255" s="5"/>
      <c r="K255" s="7"/>
      <c r="L255" s="6"/>
      <c r="M255" s="5"/>
    </row>
    <row r="256" spans="1:13" x14ac:dyDescent="0.55000000000000004">
      <c r="A256" s="6"/>
      <c r="B256" s="8"/>
      <c r="E256" s="6"/>
      <c r="F256" s="6"/>
      <c r="G256" s="8"/>
      <c r="J256" s="5"/>
      <c r="K256" s="7"/>
      <c r="L256" s="6"/>
      <c r="M256" s="5"/>
    </row>
    <row r="257" spans="1:13" x14ac:dyDescent="0.55000000000000004">
      <c r="A257" s="6"/>
      <c r="B257" s="8"/>
      <c r="E257" s="6"/>
      <c r="F257" s="6"/>
      <c r="G257" s="8"/>
      <c r="J257" s="5"/>
      <c r="K257" s="7"/>
      <c r="L257" s="6"/>
      <c r="M257" s="5"/>
    </row>
    <row r="258" spans="1:13" x14ac:dyDescent="0.55000000000000004">
      <c r="A258" s="6"/>
      <c r="B258" s="8"/>
      <c r="E258" s="6"/>
      <c r="F258" s="6"/>
      <c r="G258" s="8"/>
      <c r="J258" s="5"/>
      <c r="K258" s="7"/>
      <c r="L258" s="6"/>
      <c r="M258" s="5"/>
    </row>
    <row r="259" spans="1:13" x14ac:dyDescent="0.55000000000000004">
      <c r="A259" s="6"/>
      <c r="B259" s="8"/>
      <c r="E259" s="6"/>
      <c r="F259" s="6"/>
      <c r="G259" s="8"/>
      <c r="J259" s="5"/>
      <c r="K259" s="7"/>
      <c r="L259" s="6"/>
      <c r="M259" s="5"/>
    </row>
    <row r="260" spans="1:13" x14ac:dyDescent="0.55000000000000004">
      <c r="A260" s="6"/>
      <c r="B260" s="8"/>
      <c r="E260" s="6"/>
      <c r="F260" s="6"/>
      <c r="G260" s="8"/>
      <c r="J260" s="5"/>
      <c r="K260" s="7"/>
      <c r="L260" s="6"/>
      <c r="M260" s="5"/>
    </row>
    <row r="261" spans="1:13" x14ac:dyDescent="0.55000000000000004">
      <c r="A261" s="6"/>
      <c r="B261" s="8"/>
      <c r="E261" s="6"/>
      <c r="F261" s="6"/>
      <c r="G261" s="8"/>
      <c r="J261" s="5"/>
      <c r="K261" s="7"/>
      <c r="L261" s="6"/>
      <c r="M261" s="5"/>
    </row>
    <row r="262" spans="1:13" x14ac:dyDescent="0.55000000000000004">
      <c r="A262" s="6"/>
      <c r="B262" s="8"/>
      <c r="E262" s="6"/>
      <c r="F262" s="6"/>
      <c r="G262" s="8"/>
      <c r="J262" s="5"/>
      <c r="K262" s="7"/>
      <c r="L262" s="6"/>
      <c r="M262" s="5"/>
    </row>
    <row r="263" spans="1:13" x14ac:dyDescent="0.55000000000000004">
      <c r="A263" s="6"/>
      <c r="B263" s="8"/>
      <c r="E263" s="6"/>
      <c r="F263" s="6"/>
      <c r="G263" s="8"/>
      <c r="J263" s="5"/>
      <c r="K263" s="7"/>
      <c r="L263" s="6"/>
      <c r="M263" s="5"/>
    </row>
    <row r="264" spans="1:13" x14ac:dyDescent="0.55000000000000004">
      <c r="A264" s="6"/>
      <c r="B264" s="8"/>
      <c r="E264" s="6"/>
      <c r="F264" s="6"/>
      <c r="G264" s="8"/>
      <c r="J264" s="5"/>
      <c r="K264" s="7"/>
      <c r="L264" s="6"/>
      <c r="M264" s="5"/>
    </row>
    <row r="265" spans="1:13" x14ac:dyDescent="0.55000000000000004">
      <c r="A265" s="6"/>
      <c r="B265" s="8"/>
      <c r="E265" s="6"/>
      <c r="F265" s="6"/>
      <c r="G265" s="8"/>
      <c r="J265" s="5"/>
      <c r="K265" s="7"/>
      <c r="L265" s="6"/>
      <c r="M265" s="5"/>
    </row>
    <row r="266" spans="1:13" x14ac:dyDescent="0.55000000000000004">
      <c r="A266" s="6"/>
      <c r="B266" s="8"/>
      <c r="E266" s="6"/>
      <c r="F266" s="6"/>
      <c r="G266" s="8"/>
      <c r="J266" s="5"/>
      <c r="K266" s="7"/>
      <c r="L266" s="6"/>
      <c r="M266" s="5"/>
    </row>
    <row r="267" spans="1:13" x14ac:dyDescent="0.55000000000000004">
      <c r="A267" s="6"/>
      <c r="B267" s="8"/>
      <c r="E267" s="6"/>
      <c r="F267" s="6"/>
      <c r="G267" s="8"/>
      <c r="J267" s="5"/>
      <c r="K267" s="7"/>
      <c r="L267" s="6"/>
      <c r="M267" s="5"/>
    </row>
    <row r="268" spans="1:13" x14ac:dyDescent="0.55000000000000004">
      <c r="A268" s="6"/>
      <c r="B268" s="8"/>
      <c r="E268" s="6"/>
      <c r="F268" s="6"/>
      <c r="G268" s="8"/>
      <c r="J268" s="5"/>
      <c r="K268" s="7"/>
      <c r="L268" s="6"/>
      <c r="M268" s="5"/>
    </row>
    <row r="269" spans="1:13" x14ac:dyDescent="0.55000000000000004">
      <c r="A269" s="6"/>
      <c r="B269" s="8"/>
      <c r="E269" s="6"/>
      <c r="F269" s="6"/>
      <c r="G269" s="8"/>
      <c r="J269" s="5"/>
      <c r="K269" s="7"/>
      <c r="L269" s="6"/>
      <c r="M269" s="5"/>
    </row>
    <row r="270" spans="1:13" x14ac:dyDescent="0.55000000000000004">
      <c r="A270" s="6"/>
      <c r="B270" s="8"/>
      <c r="E270" s="6"/>
      <c r="F270" s="6"/>
      <c r="G270" s="8"/>
      <c r="J270" s="5"/>
      <c r="K270" s="7"/>
      <c r="L270" s="6"/>
      <c r="M270" s="5"/>
    </row>
    <row r="271" spans="1:13" x14ac:dyDescent="0.55000000000000004">
      <c r="A271" s="6"/>
      <c r="B271" s="8"/>
      <c r="E271" s="6"/>
      <c r="F271" s="6"/>
      <c r="G271" s="8"/>
      <c r="J271" s="5"/>
      <c r="K271" s="7"/>
      <c r="L271" s="6"/>
      <c r="M271" s="5"/>
    </row>
    <row r="272" spans="1:13" x14ac:dyDescent="0.55000000000000004">
      <c r="A272" s="6"/>
      <c r="B272" s="8"/>
      <c r="E272" s="6"/>
      <c r="F272" s="6"/>
      <c r="G272" s="8"/>
      <c r="J272" s="5"/>
      <c r="K272" s="7"/>
      <c r="L272" s="6"/>
      <c r="M272" s="5"/>
    </row>
    <row r="273" spans="1:13" x14ac:dyDescent="0.55000000000000004">
      <c r="A273" s="6"/>
      <c r="B273" s="8"/>
      <c r="E273" s="6"/>
      <c r="F273" s="6"/>
      <c r="G273" s="8"/>
      <c r="J273" s="5"/>
      <c r="K273" s="7"/>
      <c r="L273" s="6"/>
      <c r="M273" s="5"/>
    </row>
    <row r="274" spans="1:13" x14ac:dyDescent="0.55000000000000004">
      <c r="A274" s="6"/>
      <c r="B274" s="8"/>
      <c r="E274" s="6"/>
      <c r="F274" s="6"/>
      <c r="G274" s="8"/>
      <c r="J274" s="5"/>
      <c r="K274" s="7"/>
      <c r="L274" s="6"/>
      <c r="M274" s="5"/>
    </row>
    <row r="275" spans="1:13" x14ac:dyDescent="0.55000000000000004">
      <c r="A275" s="6"/>
      <c r="B275" s="8"/>
      <c r="E275" s="6"/>
      <c r="F275" s="6"/>
      <c r="G275" s="8"/>
      <c r="J275" s="5"/>
      <c r="K275" s="7"/>
      <c r="L275" s="6"/>
      <c r="M275" s="5"/>
    </row>
    <row r="276" spans="1:13" x14ac:dyDescent="0.55000000000000004">
      <c r="A276" s="6"/>
      <c r="B276" s="8"/>
      <c r="E276" s="6"/>
      <c r="F276" s="6"/>
      <c r="G276" s="8"/>
      <c r="J276" s="5"/>
      <c r="K276" s="7"/>
      <c r="L276" s="6"/>
      <c r="M276" s="5"/>
    </row>
    <row r="277" spans="1:13" x14ac:dyDescent="0.55000000000000004">
      <c r="A277" s="6"/>
      <c r="B277" s="8"/>
      <c r="E277" s="6"/>
      <c r="F277" s="6"/>
      <c r="G277" s="8"/>
      <c r="J277" s="5"/>
      <c r="K277" s="7"/>
      <c r="L277" s="6"/>
      <c r="M277" s="5"/>
    </row>
    <row r="278" spans="1:13" x14ac:dyDescent="0.55000000000000004">
      <c r="A278" s="6"/>
      <c r="B278" s="8"/>
      <c r="E278" s="6"/>
      <c r="F278" s="6"/>
      <c r="G278" s="8"/>
      <c r="J278" s="5"/>
      <c r="K278" s="7"/>
      <c r="L278" s="6"/>
      <c r="M278" s="5"/>
    </row>
    <row r="279" spans="1:13" x14ac:dyDescent="0.55000000000000004">
      <c r="A279" s="6"/>
      <c r="B279" s="8"/>
      <c r="E279" s="6"/>
      <c r="F279" s="6"/>
      <c r="G279" s="8"/>
      <c r="J279" s="5"/>
      <c r="K279" s="7"/>
      <c r="L279" s="6"/>
      <c r="M279" s="5"/>
    </row>
    <row r="280" spans="1:13" x14ac:dyDescent="0.55000000000000004">
      <c r="A280" s="6"/>
      <c r="B280" s="8"/>
      <c r="E280" s="6"/>
      <c r="F280" s="6"/>
      <c r="G280" s="8"/>
      <c r="J280" s="5"/>
      <c r="K280" s="7"/>
      <c r="L280" s="6"/>
      <c r="M280" s="5"/>
    </row>
    <row r="281" spans="1:13" x14ac:dyDescent="0.55000000000000004">
      <c r="A281" s="6"/>
      <c r="B281" s="8"/>
      <c r="E281" s="6"/>
      <c r="F281" s="6"/>
      <c r="G281" s="8"/>
      <c r="J281" s="5"/>
      <c r="K281" s="7"/>
      <c r="L281" s="6"/>
      <c r="M281" s="5"/>
    </row>
    <row r="282" spans="1:13" x14ac:dyDescent="0.55000000000000004">
      <c r="A282" s="6"/>
      <c r="B282" s="8"/>
      <c r="E282" s="6"/>
      <c r="F282" s="6"/>
      <c r="G282" s="8"/>
      <c r="J282" s="5"/>
      <c r="K282" s="7"/>
      <c r="L282" s="6"/>
      <c r="M282" s="5"/>
    </row>
    <row r="283" spans="1:13" x14ac:dyDescent="0.55000000000000004">
      <c r="A283" s="6"/>
      <c r="B283" s="8"/>
      <c r="E283" s="6"/>
      <c r="F283" s="6"/>
      <c r="G283" s="8"/>
      <c r="J283" s="5"/>
      <c r="K283" s="7"/>
      <c r="L283" s="6"/>
      <c r="M283" s="5"/>
    </row>
    <row r="284" spans="1:13" x14ac:dyDescent="0.55000000000000004">
      <c r="A284" s="6"/>
      <c r="B284" s="8"/>
      <c r="E284" s="6"/>
      <c r="F284" s="6"/>
      <c r="G284" s="8"/>
      <c r="J284" s="5"/>
      <c r="K284" s="7"/>
      <c r="L284" s="6"/>
      <c r="M284" s="5"/>
    </row>
    <row r="285" spans="1:13" x14ac:dyDescent="0.55000000000000004">
      <c r="A285" s="6"/>
      <c r="B285" s="8"/>
      <c r="E285" s="6"/>
      <c r="F285" s="6"/>
      <c r="G285" s="8"/>
      <c r="J285" s="5"/>
      <c r="K285" s="7"/>
      <c r="L285" s="6"/>
      <c r="M285" s="5"/>
    </row>
    <row r="286" spans="1:13" x14ac:dyDescent="0.55000000000000004">
      <c r="A286" s="6"/>
      <c r="B286" s="8"/>
      <c r="E286" s="6"/>
      <c r="F286" s="6"/>
      <c r="G286" s="8"/>
      <c r="J286" s="5"/>
      <c r="K286" s="7"/>
      <c r="L286" s="6"/>
      <c r="M286" s="5"/>
    </row>
    <row r="287" spans="1:13" x14ac:dyDescent="0.55000000000000004">
      <c r="A287" s="6"/>
      <c r="B287" s="8"/>
      <c r="E287" s="6"/>
      <c r="F287" s="6"/>
      <c r="G287" s="8"/>
      <c r="J287" s="5"/>
      <c r="K287" s="7"/>
      <c r="L287" s="6"/>
      <c r="M287" s="5"/>
    </row>
    <row r="288" spans="1:13" x14ac:dyDescent="0.55000000000000004">
      <c r="A288" s="6"/>
      <c r="B288" s="8"/>
      <c r="E288" s="6"/>
      <c r="F288" s="6"/>
      <c r="G288" s="8"/>
      <c r="J288" s="5"/>
      <c r="K288" s="7"/>
      <c r="L288" s="6"/>
      <c r="M288" s="5"/>
    </row>
    <row r="289" spans="1:13" x14ac:dyDescent="0.55000000000000004">
      <c r="A289" s="6"/>
      <c r="B289" s="8"/>
      <c r="E289" s="6"/>
      <c r="F289" s="6"/>
      <c r="G289" s="8"/>
      <c r="J289" s="5"/>
      <c r="K289" s="7"/>
      <c r="L289" s="6"/>
      <c r="M289" s="5"/>
    </row>
    <row r="290" spans="1:13" x14ac:dyDescent="0.55000000000000004">
      <c r="A290" s="6"/>
      <c r="B290" s="8"/>
      <c r="E290" s="6"/>
      <c r="F290" s="6"/>
      <c r="G290" s="8"/>
      <c r="J290" s="5"/>
      <c r="K290" s="7"/>
      <c r="L290" s="6"/>
      <c r="M290" s="5"/>
    </row>
    <row r="291" spans="1:13" x14ac:dyDescent="0.55000000000000004">
      <c r="A291" s="6"/>
      <c r="B291" s="8"/>
      <c r="E291" s="6"/>
      <c r="F291" s="6"/>
      <c r="G291" s="8"/>
      <c r="J291" s="5"/>
      <c r="K291" s="7"/>
      <c r="L291" s="6"/>
      <c r="M291" s="5"/>
    </row>
    <row r="292" spans="1:13" x14ac:dyDescent="0.55000000000000004">
      <c r="A292" s="6"/>
      <c r="B292" s="8"/>
      <c r="E292" s="6"/>
      <c r="F292" s="6"/>
      <c r="G292" s="8"/>
      <c r="J292" s="5"/>
      <c r="K292" s="7"/>
      <c r="L292" s="6"/>
      <c r="M292" s="5"/>
    </row>
    <row r="293" spans="1:13" x14ac:dyDescent="0.55000000000000004">
      <c r="A293" s="6"/>
      <c r="B293" s="8"/>
      <c r="E293" s="6"/>
      <c r="F293" s="6"/>
      <c r="G293" s="8"/>
      <c r="J293" s="5"/>
      <c r="K293" s="7"/>
      <c r="L293" s="6"/>
      <c r="M293" s="5"/>
    </row>
    <row r="294" spans="1:13" x14ac:dyDescent="0.55000000000000004">
      <c r="A294" s="6"/>
      <c r="B294" s="8"/>
      <c r="E294" s="6"/>
      <c r="F294" s="6"/>
      <c r="G294" s="8"/>
      <c r="J294" s="5"/>
      <c r="K294" s="7"/>
      <c r="L294" s="6"/>
      <c r="M294" s="5"/>
    </row>
    <row r="295" spans="1:13" x14ac:dyDescent="0.55000000000000004">
      <c r="A295" s="6"/>
      <c r="B295" s="8"/>
      <c r="E295" s="6"/>
      <c r="F295" s="6"/>
      <c r="G295" s="8"/>
      <c r="J295" s="5"/>
      <c r="K295" s="7"/>
      <c r="L295" s="6"/>
      <c r="M295" s="5"/>
    </row>
    <row r="296" spans="1:13" x14ac:dyDescent="0.55000000000000004">
      <c r="A296" s="6"/>
      <c r="B296" s="8"/>
      <c r="E296" s="6"/>
      <c r="F296" s="6"/>
      <c r="G296" s="8"/>
      <c r="J296" s="5"/>
      <c r="K296" s="7"/>
      <c r="L296" s="6"/>
      <c r="M296" s="5"/>
    </row>
    <row r="297" spans="1:13" x14ac:dyDescent="0.55000000000000004">
      <c r="A297" s="6"/>
      <c r="B297" s="8"/>
      <c r="E297" s="6"/>
      <c r="F297" s="6"/>
      <c r="G297" s="8"/>
      <c r="J297" s="5"/>
      <c r="K297" s="7"/>
      <c r="L297" s="6"/>
      <c r="M297" s="5"/>
    </row>
    <row r="298" spans="1:13" x14ac:dyDescent="0.55000000000000004">
      <c r="A298" s="6"/>
      <c r="B298" s="8"/>
      <c r="E298" s="6"/>
      <c r="F298" s="6"/>
      <c r="G298" s="8"/>
      <c r="J298" s="5"/>
      <c r="K298" s="7"/>
      <c r="L298" s="6"/>
      <c r="M298" s="5"/>
    </row>
    <row r="299" spans="1:13" x14ac:dyDescent="0.55000000000000004">
      <c r="A299" s="6"/>
      <c r="B299" s="8"/>
      <c r="E299" s="6"/>
      <c r="F299" s="6"/>
      <c r="G299" s="8"/>
      <c r="J299" s="5"/>
      <c r="K299" s="7"/>
      <c r="L299" s="6"/>
      <c r="M299" s="5"/>
    </row>
    <row r="300" spans="1:13" x14ac:dyDescent="0.55000000000000004">
      <c r="A300" s="6"/>
      <c r="B300" s="8"/>
      <c r="E300" s="6"/>
      <c r="F300" s="6"/>
      <c r="G300" s="8"/>
      <c r="J300" s="5"/>
      <c r="K300" s="7"/>
      <c r="L300" s="6"/>
      <c r="M300" s="5"/>
    </row>
    <row r="301" spans="1:13" x14ac:dyDescent="0.55000000000000004">
      <c r="A301" s="6"/>
      <c r="B301" s="8"/>
      <c r="E301" s="6"/>
      <c r="F301" s="6"/>
      <c r="G301" s="8"/>
      <c r="J301" s="5"/>
      <c r="K301" s="7"/>
      <c r="L301" s="6"/>
      <c r="M301" s="5"/>
    </row>
    <row r="302" spans="1:13" x14ac:dyDescent="0.55000000000000004">
      <c r="A302" s="6"/>
      <c r="B302" s="8"/>
      <c r="E302" s="6"/>
      <c r="F302" s="6"/>
      <c r="G302" s="8"/>
      <c r="J302" s="5"/>
      <c r="K302" s="7"/>
      <c r="L302" s="6"/>
      <c r="M302" s="5"/>
    </row>
    <row r="303" spans="1:13" x14ac:dyDescent="0.55000000000000004">
      <c r="A303" s="6"/>
      <c r="B303" s="8"/>
      <c r="E303" s="6"/>
      <c r="F303" s="6"/>
      <c r="G303" s="8"/>
      <c r="J303" s="5"/>
      <c r="K303" s="7"/>
      <c r="L303" s="6"/>
      <c r="M303" s="5"/>
    </row>
    <row r="304" spans="1:13" x14ac:dyDescent="0.55000000000000004">
      <c r="A304" s="6"/>
      <c r="B304" s="8"/>
      <c r="E304" s="6"/>
      <c r="F304" s="6"/>
      <c r="G304" s="8"/>
      <c r="J304" s="5"/>
      <c r="K304" s="7"/>
      <c r="L304" s="6"/>
      <c r="M304" s="5"/>
    </row>
    <row r="305" spans="1:13" x14ac:dyDescent="0.55000000000000004">
      <c r="A305" s="6"/>
      <c r="B305" s="8"/>
      <c r="E305" s="6"/>
      <c r="F305" s="6"/>
      <c r="G305" s="8"/>
      <c r="J305" s="5"/>
      <c r="K305" s="7"/>
      <c r="L305" s="6"/>
      <c r="M305" s="5"/>
    </row>
    <row r="306" spans="1:13" x14ac:dyDescent="0.55000000000000004">
      <c r="A306" s="6"/>
      <c r="B306" s="8"/>
      <c r="E306" s="6"/>
      <c r="F306" s="6"/>
      <c r="G306" s="8"/>
      <c r="J306" s="5"/>
      <c r="K306" s="7"/>
      <c r="L306" s="6"/>
      <c r="M306" s="5"/>
    </row>
    <row r="307" spans="1:13" x14ac:dyDescent="0.55000000000000004">
      <c r="A307" s="6"/>
      <c r="B307" s="8"/>
      <c r="E307" s="6"/>
      <c r="F307" s="6"/>
      <c r="G307" s="8"/>
      <c r="J307" s="5"/>
      <c r="K307" s="7"/>
      <c r="L307" s="6"/>
      <c r="M307" s="5"/>
    </row>
    <row r="308" spans="1:13" x14ac:dyDescent="0.55000000000000004">
      <c r="A308" s="6"/>
      <c r="B308" s="8"/>
      <c r="E308" s="6"/>
      <c r="F308" s="6"/>
      <c r="G308" s="8"/>
      <c r="J308" s="5"/>
      <c r="K308" s="7"/>
      <c r="L308" s="6"/>
      <c r="M308" s="5"/>
    </row>
    <row r="309" spans="1:13" x14ac:dyDescent="0.55000000000000004">
      <c r="A309" s="6"/>
      <c r="B309" s="8"/>
      <c r="E309" s="6"/>
      <c r="F309" s="6"/>
      <c r="G309" s="8"/>
      <c r="J309" s="5"/>
      <c r="K309" s="7"/>
      <c r="L309" s="6"/>
      <c r="M309" s="5"/>
    </row>
    <row r="310" spans="1:13" x14ac:dyDescent="0.55000000000000004">
      <c r="A310" s="6"/>
      <c r="B310" s="8"/>
      <c r="E310" s="6"/>
      <c r="F310" s="6"/>
      <c r="G310" s="8"/>
      <c r="J310" s="5"/>
      <c r="K310" s="7"/>
      <c r="L310" s="6"/>
      <c r="M310" s="5"/>
    </row>
    <row r="311" spans="1:13" x14ac:dyDescent="0.55000000000000004">
      <c r="A311" s="6"/>
      <c r="B311" s="8"/>
      <c r="E311" s="6"/>
      <c r="F311" s="6"/>
      <c r="G311" s="8"/>
      <c r="J311" s="5"/>
      <c r="K311" s="7"/>
      <c r="L311" s="6"/>
      <c r="M311" s="5"/>
    </row>
    <row r="312" spans="1:13" x14ac:dyDescent="0.55000000000000004">
      <c r="A312" s="6"/>
      <c r="B312" s="8"/>
      <c r="E312" s="6"/>
      <c r="F312" s="6"/>
      <c r="G312" s="8"/>
      <c r="J312" s="5"/>
      <c r="K312" s="7"/>
      <c r="L312" s="6"/>
      <c r="M312" s="5"/>
    </row>
    <row r="313" spans="1:13" x14ac:dyDescent="0.55000000000000004">
      <c r="A313" s="6"/>
      <c r="B313" s="8"/>
      <c r="E313" s="6"/>
      <c r="F313" s="6"/>
      <c r="G313" s="8"/>
      <c r="J313" s="5"/>
      <c r="K313" s="7"/>
      <c r="L313" s="6"/>
      <c r="M313" s="5"/>
    </row>
    <row r="314" spans="1:13" x14ac:dyDescent="0.55000000000000004">
      <c r="A314" s="6"/>
      <c r="B314" s="8"/>
      <c r="E314" s="6"/>
      <c r="F314" s="6"/>
      <c r="G314" s="8"/>
      <c r="J314" s="5"/>
      <c r="K314" s="7"/>
      <c r="L314" s="6"/>
      <c r="M314" s="5"/>
    </row>
    <row r="315" spans="1:13" x14ac:dyDescent="0.55000000000000004">
      <c r="A315" s="6"/>
      <c r="B315" s="8"/>
      <c r="E315" s="6"/>
      <c r="F315" s="6"/>
      <c r="G315" s="8"/>
      <c r="J315" s="5"/>
      <c r="K315" s="7"/>
      <c r="L315" s="6"/>
      <c r="M315" s="5"/>
    </row>
    <row r="316" spans="1:13" x14ac:dyDescent="0.55000000000000004">
      <c r="A316" s="6"/>
      <c r="B316" s="8"/>
      <c r="E316" s="6"/>
      <c r="F316" s="6"/>
      <c r="G316" s="8"/>
      <c r="J316" s="5"/>
      <c r="K316" s="7"/>
      <c r="L316" s="6"/>
      <c r="M316" s="5"/>
    </row>
    <row r="317" spans="1:13" x14ac:dyDescent="0.55000000000000004">
      <c r="A317" s="6"/>
      <c r="B317" s="8"/>
      <c r="E317" s="6"/>
      <c r="F317" s="6"/>
      <c r="G317" s="8"/>
      <c r="J317" s="5"/>
      <c r="K317" s="7"/>
      <c r="L317" s="6"/>
      <c r="M317" s="5"/>
    </row>
    <row r="318" spans="1:13" x14ac:dyDescent="0.55000000000000004">
      <c r="A318" s="6"/>
      <c r="B318" s="8"/>
      <c r="E318" s="6"/>
      <c r="F318" s="6"/>
      <c r="G318" s="8"/>
      <c r="J318" s="5"/>
      <c r="K318" s="7"/>
      <c r="L318" s="6"/>
      <c r="M318" s="5"/>
    </row>
    <row r="319" spans="1:13" x14ac:dyDescent="0.55000000000000004">
      <c r="A319" s="6"/>
      <c r="B319" s="8"/>
      <c r="E319" s="6"/>
      <c r="F319" s="6"/>
      <c r="G319" s="8"/>
      <c r="J319" s="5"/>
      <c r="K319" s="7"/>
      <c r="L319" s="6"/>
      <c r="M319" s="5"/>
    </row>
    <row r="320" spans="1:13" x14ac:dyDescent="0.55000000000000004">
      <c r="A320" s="6"/>
      <c r="B320" s="8"/>
      <c r="E320" s="6"/>
      <c r="F320" s="6"/>
      <c r="G320" s="8"/>
      <c r="J320" s="5"/>
      <c r="K320" s="7"/>
      <c r="L320" s="6"/>
      <c r="M320" s="5"/>
    </row>
    <row r="321" spans="1:13" x14ac:dyDescent="0.55000000000000004">
      <c r="A321" s="6"/>
      <c r="B321" s="8"/>
      <c r="E321" s="6"/>
      <c r="F321" s="6"/>
      <c r="G321" s="8"/>
      <c r="J321" s="5"/>
      <c r="K321" s="7"/>
      <c r="L321" s="6"/>
      <c r="M321" s="5"/>
    </row>
    <row r="322" spans="1:13" x14ac:dyDescent="0.55000000000000004">
      <c r="A322" s="6"/>
      <c r="B322" s="8"/>
      <c r="E322" s="6"/>
      <c r="F322" s="6"/>
      <c r="G322" s="8"/>
      <c r="J322" s="5"/>
      <c r="K322" s="7"/>
      <c r="L322" s="6"/>
      <c r="M322" s="5"/>
    </row>
    <row r="323" spans="1:13" x14ac:dyDescent="0.55000000000000004">
      <c r="A323" s="6"/>
      <c r="B323" s="8"/>
      <c r="E323" s="6"/>
      <c r="F323" s="6"/>
      <c r="G323" s="8"/>
      <c r="J323" s="5"/>
      <c r="K323" s="7"/>
      <c r="L323" s="6"/>
      <c r="M323" s="5"/>
    </row>
    <row r="324" spans="1:13" x14ac:dyDescent="0.55000000000000004">
      <c r="A324" s="6"/>
      <c r="B324" s="8"/>
      <c r="E324" s="6"/>
      <c r="F324" s="6"/>
      <c r="G324" s="8"/>
      <c r="J324" s="5"/>
      <c r="K324" s="7"/>
      <c r="L324" s="6"/>
      <c r="M324" s="5"/>
    </row>
    <row r="325" spans="1:13" x14ac:dyDescent="0.55000000000000004">
      <c r="A325" s="6"/>
      <c r="B325" s="8"/>
      <c r="E325" s="6"/>
      <c r="F325" s="6"/>
      <c r="G325" s="8"/>
      <c r="J325" s="5"/>
      <c r="K325" s="7"/>
      <c r="L325" s="6"/>
      <c r="M325" s="5"/>
    </row>
    <row r="326" spans="1:13" x14ac:dyDescent="0.55000000000000004">
      <c r="A326" s="6"/>
      <c r="B326" s="8"/>
      <c r="E326" s="6"/>
      <c r="F326" s="6"/>
      <c r="G326" s="8"/>
      <c r="J326" s="5"/>
      <c r="K326" s="7"/>
      <c r="L326" s="6"/>
      <c r="M326" s="5"/>
    </row>
    <row r="327" spans="1:13" x14ac:dyDescent="0.55000000000000004">
      <c r="A327" s="6"/>
      <c r="B327" s="8"/>
      <c r="E327" s="6"/>
      <c r="F327" s="6"/>
      <c r="G327" s="8"/>
      <c r="J327" s="5"/>
      <c r="K327" s="7"/>
      <c r="L327" s="6"/>
      <c r="M327" s="5"/>
    </row>
    <row r="328" spans="1:13" x14ac:dyDescent="0.55000000000000004">
      <c r="A328" s="6"/>
      <c r="B328" s="8"/>
      <c r="E328" s="6"/>
      <c r="F328" s="6"/>
      <c r="G328" s="8"/>
      <c r="J328" s="5"/>
      <c r="K328" s="7"/>
      <c r="L328" s="6"/>
      <c r="M328" s="5"/>
    </row>
    <row r="329" spans="1:13" x14ac:dyDescent="0.55000000000000004">
      <c r="A329" s="6"/>
      <c r="B329" s="8"/>
      <c r="E329" s="6"/>
      <c r="F329" s="6"/>
      <c r="G329" s="8"/>
      <c r="J329" s="5"/>
      <c r="K329" s="7"/>
      <c r="L329" s="6"/>
      <c r="M329" s="5"/>
    </row>
    <row r="330" spans="1:13" x14ac:dyDescent="0.55000000000000004">
      <c r="A330" s="6"/>
      <c r="B330" s="8"/>
      <c r="E330" s="6"/>
      <c r="F330" s="6"/>
      <c r="G330" s="8"/>
      <c r="J330" s="5"/>
      <c r="K330" s="7"/>
      <c r="L330" s="6"/>
      <c r="M330" s="5"/>
    </row>
    <row r="331" spans="1:13" x14ac:dyDescent="0.55000000000000004">
      <c r="A331" s="6"/>
      <c r="B331" s="8"/>
      <c r="E331" s="6"/>
      <c r="F331" s="6"/>
      <c r="G331" s="8"/>
      <c r="J331" s="5"/>
      <c r="K331" s="7"/>
      <c r="L331" s="6"/>
      <c r="M331" s="5"/>
    </row>
    <row r="332" spans="1:13" x14ac:dyDescent="0.55000000000000004">
      <c r="A332" s="6"/>
      <c r="B332" s="8"/>
      <c r="E332" s="6"/>
      <c r="F332" s="6"/>
      <c r="G332" s="8"/>
      <c r="J332" s="5"/>
      <c r="K332" s="7"/>
      <c r="L332" s="6"/>
      <c r="M332" s="5"/>
    </row>
    <row r="333" spans="1:13" x14ac:dyDescent="0.55000000000000004">
      <c r="A333" s="6"/>
      <c r="B333" s="8"/>
      <c r="E333" s="6"/>
      <c r="F333" s="6"/>
      <c r="G333" s="8"/>
      <c r="J333" s="5"/>
      <c r="K333" s="7"/>
      <c r="L333" s="6"/>
      <c r="M333" s="5"/>
    </row>
    <row r="334" spans="1:13" x14ac:dyDescent="0.55000000000000004">
      <c r="A334" s="6"/>
      <c r="B334" s="8"/>
      <c r="E334" s="6"/>
      <c r="F334" s="6"/>
      <c r="G334" s="8"/>
      <c r="J334" s="5"/>
      <c r="K334" s="7"/>
      <c r="L334" s="6"/>
      <c r="M334" s="5"/>
    </row>
    <row r="335" spans="1:13" x14ac:dyDescent="0.55000000000000004">
      <c r="A335" s="6"/>
      <c r="B335" s="8"/>
      <c r="E335" s="6"/>
      <c r="F335" s="6"/>
      <c r="G335" s="8"/>
      <c r="J335" s="5"/>
      <c r="K335" s="7"/>
      <c r="L335" s="6"/>
      <c r="M335" s="5"/>
    </row>
    <row r="336" spans="1:13" x14ac:dyDescent="0.55000000000000004">
      <c r="A336" s="6"/>
      <c r="B336" s="8"/>
      <c r="E336" s="6"/>
      <c r="F336" s="6"/>
      <c r="G336" s="8"/>
      <c r="J336" s="5"/>
      <c r="K336" s="7"/>
      <c r="L336" s="6"/>
      <c r="M336" s="5"/>
    </row>
    <row r="337" spans="1:13" x14ac:dyDescent="0.55000000000000004">
      <c r="A337" s="6"/>
      <c r="B337" s="8"/>
      <c r="E337" s="6"/>
      <c r="F337" s="6"/>
      <c r="G337" s="8"/>
      <c r="J337" s="5"/>
      <c r="K337" s="7"/>
      <c r="L337" s="6"/>
      <c r="M337" s="5"/>
    </row>
    <row r="338" spans="1:13" x14ac:dyDescent="0.55000000000000004">
      <c r="A338" s="6"/>
      <c r="B338" s="8"/>
      <c r="E338" s="6"/>
      <c r="F338" s="6"/>
      <c r="G338" s="8"/>
      <c r="J338" s="5"/>
      <c r="K338" s="7"/>
      <c r="L338" s="6"/>
      <c r="M338" s="5"/>
    </row>
    <row r="339" spans="1:13" x14ac:dyDescent="0.55000000000000004">
      <c r="A339" s="6"/>
      <c r="B339" s="8"/>
      <c r="E339" s="6"/>
      <c r="F339" s="6"/>
      <c r="G339" s="8"/>
      <c r="J339" s="5"/>
      <c r="K339" s="7"/>
      <c r="L339" s="6"/>
      <c r="M339" s="5"/>
    </row>
    <row r="340" spans="1:13" x14ac:dyDescent="0.55000000000000004">
      <c r="A340" s="6"/>
      <c r="B340" s="8"/>
      <c r="E340" s="6"/>
      <c r="F340" s="6"/>
      <c r="G340" s="8"/>
      <c r="J340" s="5"/>
      <c r="K340" s="7"/>
      <c r="L340" s="6"/>
      <c r="M340" s="5"/>
    </row>
    <row r="341" spans="1:13" x14ac:dyDescent="0.55000000000000004">
      <c r="A341" s="6"/>
      <c r="B341" s="8"/>
      <c r="E341" s="6"/>
      <c r="F341" s="6"/>
      <c r="G341" s="8"/>
      <c r="J341" s="5"/>
      <c r="K341" s="7"/>
      <c r="L341" s="6"/>
      <c r="M341" s="5"/>
    </row>
    <row r="342" spans="1:13" x14ac:dyDescent="0.55000000000000004">
      <c r="A342" s="6"/>
      <c r="B342" s="8"/>
      <c r="E342" s="6"/>
      <c r="F342" s="6"/>
      <c r="G342" s="8"/>
      <c r="J342" s="5"/>
      <c r="K342" s="7"/>
      <c r="L342" s="6"/>
      <c r="M342" s="5"/>
    </row>
    <row r="343" spans="1:13" x14ac:dyDescent="0.55000000000000004">
      <c r="A343" s="6"/>
      <c r="B343" s="8"/>
      <c r="E343" s="6"/>
      <c r="F343" s="6"/>
      <c r="G343" s="8"/>
      <c r="J343" s="5"/>
      <c r="K343" s="7"/>
      <c r="L343" s="6"/>
      <c r="M343" s="5"/>
    </row>
    <row r="344" spans="1:13" x14ac:dyDescent="0.55000000000000004">
      <c r="A344" s="6"/>
      <c r="B344" s="8"/>
      <c r="E344" s="6"/>
      <c r="F344" s="6"/>
      <c r="G344" s="8"/>
      <c r="J344" s="5"/>
      <c r="K344" s="7"/>
      <c r="L344" s="6"/>
      <c r="M344" s="5"/>
    </row>
    <row r="345" spans="1:13" x14ac:dyDescent="0.55000000000000004">
      <c r="A345" s="6"/>
      <c r="B345" s="8"/>
      <c r="E345" s="6"/>
      <c r="F345" s="6"/>
      <c r="G345" s="8"/>
      <c r="J345" s="5"/>
      <c r="K345" s="7"/>
      <c r="L345" s="6"/>
      <c r="M345" s="5"/>
    </row>
    <row r="346" spans="1:13" x14ac:dyDescent="0.55000000000000004">
      <c r="A346" s="6"/>
      <c r="B346" s="8"/>
      <c r="E346" s="6"/>
      <c r="F346" s="6"/>
      <c r="G346" s="8"/>
      <c r="J346" s="5"/>
      <c r="K346" s="7"/>
      <c r="L346" s="6"/>
      <c r="M346" s="5"/>
    </row>
    <row r="347" spans="1:13" x14ac:dyDescent="0.55000000000000004">
      <c r="A347" s="6"/>
      <c r="B347" s="8"/>
      <c r="E347" s="6"/>
      <c r="F347" s="6"/>
      <c r="G347" s="8"/>
      <c r="J347" s="5"/>
      <c r="K347" s="7"/>
      <c r="L347" s="6"/>
      <c r="M347" s="5"/>
    </row>
    <row r="348" spans="1:13" x14ac:dyDescent="0.55000000000000004">
      <c r="A348" s="6"/>
      <c r="B348" s="8"/>
      <c r="E348" s="6"/>
      <c r="F348" s="6"/>
      <c r="G348" s="8"/>
      <c r="J348" s="5"/>
      <c r="K348" s="7"/>
      <c r="L348" s="6"/>
      <c r="M348" s="5"/>
    </row>
    <row r="349" spans="1:13" x14ac:dyDescent="0.55000000000000004">
      <c r="A349" s="6"/>
      <c r="B349" s="8"/>
      <c r="E349" s="6"/>
      <c r="F349" s="6"/>
      <c r="G349" s="8"/>
      <c r="J349" s="5"/>
      <c r="K349" s="7"/>
      <c r="L349" s="6"/>
      <c r="M349" s="5"/>
    </row>
    <row r="350" spans="1:13" x14ac:dyDescent="0.55000000000000004">
      <c r="A350" s="6"/>
      <c r="B350" s="8"/>
      <c r="E350" s="6"/>
      <c r="F350" s="6"/>
      <c r="G350" s="8"/>
      <c r="J350" s="5"/>
      <c r="K350" s="7"/>
      <c r="L350" s="6"/>
      <c r="M350" s="5"/>
    </row>
    <row r="351" spans="1:13" x14ac:dyDescent="0.55000000000000004">
      <c r="A351" s="6"/>
      <c r="B351" s="8"/>
      <c r="E351" s="6"/>
      <c r="F351" s="6"/>
      <c r="G351" s="8"/>
      <c r="J351" s="5"/>
      <c r="K351" s="7"/>
      <c r="L351" s="6"/>
      <c r="M351" s="5"/>
    </row>
    <row r="352" spans="1:13" x14ac:dyDescent="0.55000000000000004">
      <c r="A352" s="6"/>
      <c r="B352" s="8"/>
      <c r="E352" s="6"/>
      <c r="F352" s="6"/>
      <c r="G352" s="8"/>
      <c r="J352" s="5"/>
      <c r="K352" s="7"/>
      <c r="L352" s="6"/>
      <c r="M352" s="5"/>
    </row>
    <row r="353" spans="1:13" x14ac:dyDescent="0.55000000000000004">
      <c r="A353" s="6"/>
      <c r="B353" s="8"/>
      <c r="E353" s="6"/>
      <c r="F353" s="6"/>
      <c r="G353" s="8"/>
      <c r="J353" s="5"/>
      <c r="K353" s="7"/>
      <c r="L353" s="6"/>
      <c r="M353" s="5"/>
    </row>
    <row r="354" spans="1:13" x14ac:dyDescent="0.55000000000000004">
      <c r="A354" s="6"/>
      <c r="B354" s="8"/>
      <c r="E354" s="6"/>
      <c r="F354" s="6"/>
      <c r="G354" s="8"/>
      <c r="J354" s="5"/>
      <c r="K354" s="7"/>
      <c r="L354" s="6"/>
      <c r="M354" s="5"/>
    </row>
    <row r="355" spans="1:13" x14ac:dyDescent="0.55000000000000004">
      <c r="A355" s="6"/>
      <c r="B355" s="8"/>
      <c r="E355" s="6"/>
      <c r="F355" s="6"/>
      <c r="G355" s="8"/>
      <c r="J355" s="5"/>
      <c r="K355" s="7"/>
      <c r="L355" s="6"/>
      <c r="M355" s="5"/>
    </row>
    <row r="356" spans="1:13" x14ac:dyDescent="0.55000000000000004">
      <c r="A356" s="6"/>
      <c r="B356" s="8"/>
      <c r="E356" s="6"/>
      <c r="F356" s="6"/>
      <c r="G356" s="8"/>
      <c r="J356" s="5"/>
      <c r="K356" s="7"/>
      <c r="L356" s="6"/>
      <c r="M356" s="5"/>
    </row>
    <row r="357" spans="1:13" x14ac:dyDescent="0.55000000000000004">
      <c r="A357" s="6"/>
      <c r="B357" s="8"/>
      <c r="E357" s="6"/>
      <c r="F357" s="6"/>
      <c r="G357" s="8"/>
      <c r="J357" s="5"/>
      <c r="K357" s="7"/>
      <c r="L357" s="6"/>
      <c r="M357" s="5"/>
    </row>
    <row r="358" spans="1:13" x14ac:dyDescent="0.55000000000000004">
      <c r="A358" s="6"/>
      <c r="B358" s="8"/>
      <c r="E358" s="6"/>
      <c r="F358" s="6"/>
      <c r="G358" s="8"/>
      <c r="J358" s="5"/>
      <c r="K358" s="7"/>
      <c r="L358" s="6"/>
      <c r="M358" s="5"/>
    </row>
    <row r="359" spans="1:13" x14ac:dyDescent="0.55000000000000004">
      <c r="A359" s="6"/>
      <c r="B359" s="8"/>
      <c r="E359" s="6"/>
      <c r="F359" s="6"/>
      <c r="G359" s="8"/>
      <c r="J359" s="5"/>
      <c r="K359" s="7"/>
      <c r="L359" s="6"/>
      <c r="M359" s="5"/>
    </row>
    <row r="360" spans="1:13" x14ac:dyDescent="0.55000000000000004">
      <c r="A360" s="6"/>
      <c r="B360" s="8"/>
      <c r="E360" s="6"/>
      <c r="F360" s="6"/>
      <c r="G360" s="8"/>
      <c r="J360" s="5"/>
      <c r="K360" s="7"/>
      <c r="L360" s="6"/>
      <c r="M360" s="5"/>
    </row>
    <row r="361" spans="1:13" x14ac:dyDescent="0.55000000000000004">
      <c r="A361" s="6"/>
      <c r="B361" s="8"/>
      <c r="E361" s="6"/>
      <c r="F361" s="6"/>
      <c r="G361" s="8"/>
      <c r="J361" s="5"/>
      <c r="K361" s="7"/>
      <c r="L361" s="6"/>
      <c r="M361" s="5"/>
    </row>
    <row r="362" spans="1:13" x14ac:dyDescent="0.55000000000000004">
      <c r="A362" s="6"/>
      <c r="B362" s="8"/>
      <c r="E362" s="6"/>
      <c r="F362" s="6"/>
      <c r="G362" s="8"/>
      <c r="J362" s="5"/>
      <c r="K362" s="7"/>
      <c r="L362" s="6"/>
      <c r="M362" s="5"/>
    </row>
    <row r="363" spans="1:13" x14ac:dyDescent="0.55000000000000004">
      <c r="A363" s="6"/>
      <c r="B363" s="8"/>
      <c r="E363" s="6"/>
      <c r="F363" s="6"/>
      <c r="G363" s="8"/>
      <c r="J363" s="5"/>
      <c r="K363" s="7"/>
      <c r="L363" s="6"/>
      <c r="M363" s="5"/>
    </row>
    <row r="364" spans="1:13" x14ac:dyDescent="0.55000000000000004">
      <c r="A364" s="6"/>
      <c r="B364" s="8"/>
      <c r="E364" s="6"/>
      <c r="F364" s="6"/>
      <c r="G364" s="8"/>
      <c r="J364" s="5"/>
      <c r="K364" s="7"/>
      <c r="L364" s="6"/>
      <c r="M364" s="5"/>
    </row>
    <row r="365" spans="1:13" x14ac:dyDescent="0.55000000000000004">
      <c r="A365" s="6"/>
      <c r="B365" s="8"/>
      <c r="E365" s="6"/>
      <c r="F365" s="6"/>
      <c r="G365" s="8"/>
      <c r="J365" s="5"/>
      <c r="K365" s="7"/>
      <c r="L365" s="6"/>
      <c r="M365" s="5"/>
    </row>
    <row r="366" spans="1:13" x14ac:dyDescent="0.55000000000000004">
      <c r="A366" s="6"/>
      <c r="B366" s="8"/>
      <c r="E366" s="6"/>
      <c r="F366" s="6"/>
      <c r="G366" s="8"/>
      <c r="J366" s="5"/>
      <c r="K366" s="7"/>
      <c r="L366" s="6"/>
      <c r="M366" s="5"/>
    </row>
    <row r="367" spans="1:13" x14ac:dyDescent="0.55000000000000004">
      <c r="A367" s="6"/>
      <c r="B367" s="8"/>
      <c r="E367" s="6"/>
      <c r="F367" s="6"/>
      <c r="G367" s="8"/>
      <c r="J367" s="5"/>
      <c r="K367" s="7"/>
      <c r="L367" s="6"/>
      <c r="M367" s="5"/>
    </row>
    <row r="368" spans="1:13" x14ac:dyDescent="0.55000000000000004">
      <c r="A368" s="6"/>
      <c r="B368" s="8"/>
      <c r="E368" s="6"/>
      <c r="F368" s="6"/>
      <c r="G368" s="8"/>
      <c r="J368" s="5"/>
      <c r="K368" s="7"/>
      <c r="L368" s="6"/>
      <c r="M368" s="5"/>
    </row>
    <row r="369" spans="1:13" x14ac:dyDescent="0.55000000000000004">
      <c r="A369" s="6"/>
      <c r="B369" s="8"/>
      <c r="E369" s="6"/>
      <c r="F369" s="6"/>
      <c r="G369" s="8"/>
      <c r="J369" s="5"/>
      <c r="K369" s="7"/>
      <c r="L369" s="6"/>
      <c r="M369" s="5"/>
    </row>
    <row r="370" spans="1:13" x14ac:dyDescent="0.55000000000000004">
      <c r="A370" s="6"/>
      <c r="B370" s="8"/>
      <c r="E370" s="6"/>
      <c r="F370" s="6"/>
      <c r="G370" s="8"/>
      <c r="J370" s="5"/>
      <c r="K370" s="7"/>
      <c r="L370" s="6"/>
      <c r="M370" s="5"/>
    </row>
    <row r="371" spans="1:13" x14ac:dyDescent="0.55000000000000004">
      <c r="A371" s="6"/>
      <c r="B371" s="8"/>
      <c r="E371" s="6"/>
      <c r="F371" s="6"/>
      <c r="G371" s="8"/>
      <c r="J371" s="5"/>
      <c r="K371" s="7"/>
      <c r="L371" s="6"/>
      <c r="M371" s="5"/>
    </row>
    <row r="372" spans="1:13" x14ac:dyDescent="0.55000000000000004">
      <c r="A372" s="6"/>
      <c r="B372" s="8"/>
      <c r="E372" s="6"/>
      <c r="F372" s="6"/>
      <c r="G372" s="8"/>
      <c r="J372" s="5"/>
      <c r="K372" s="7"/>
      <c r="L372" s="6"/>
      <c r="M372" s="5"/>
    </row>
    <row r="373" spans="1:13" x14ac:dyDescent="0.55000000000000004">
      <c r="A373" s="6"/>
      <c r="B373" s="8"/>
      <c r="E373" s="6"/>
      <c r="F373" s="6"/>
      <c r="G373" s="8"/>
      <c r="J373" s="5"/>
      <c r="K373" s="7"/>
      <c r="L373" s="6"/>
      <c r="M373" s="5"/>
    </row>
    <row r="374" spans="1:13" x14ac:dyDescent="0.55000000000000004">
      <c r="A374" s="6"/>
      <c r="B374" s="8"/>
      <c r="E374" s="6"/>
      <c r="F374" s="6"/>
      <c r="G374" s="8"/>
      <c r="J374" s="5"/>
      <c r="K374" s="7"/>
      <c r="L374" s="6"/>
      <c r="M374" s="5"/>
    </row>
    <row r="375" spans="1:13" x14ac:dyDescent="0.55000000000000004">
      <c r="A375" s="6"/>
      <c r="B375" s="8"/>
      <c r="E375" s="6"/>
      <c r="F375" s="6"/>
      <c r="G375" s="8"/>
      <c r="J375" s="5"/>
      <c r="K375" s="7"/>
      <c r="L375" s="6"/>
      <c r="M375" s="5"/>
    </row>
    <row r="376" spans="1:13" x14ac:dyDescent="0.55000000000000004">
      <c r="A376" s="6"/>
      <c r="B376" s="8"/>
      <c r="E376" s="6"/>
      <c r="F376" s="6"/>
      <c r="G376" s="8"/>
      <c r="J376" s="5"/>
      <c r="K376" s="7"/>
      <c r="L376" s="6"/>
      <c r="M376" s="5"/>
    </row>
    <row r="377" spans="1:13" x14ac:dyDescent="0.55000000000000004">
      <c r="A377" s="6"/>
      <c r="B377" s="8"/>
      <c r="E377" s="6"/>
      <c r="F377" s="6"/>
      <c r="G377" s="8"/>
      <c r="J377" s="5"/>
      <c r="K377" s="7"/>
      <c r="L377" s="6"/>
      <c r="M377" s="5"/>
    </row>
    <row r="378" spans="1:13" x14ac:dyDescent="0.55000000000000004">
      <c r="A378" s="6"/>
      <c r="B378" s="8"/>
      <c r="E378" s="6"/>
      <c r="F378" s="6"/>
      <c r="G378" s="8"/>
      <c r="J378" s="5"/>
      <c r="K378" s="7"/>
      <c r="L378" s="6"/>
      <c r="M378" s="5"/>
    </row>
    <row r="379" spans="1:13" x14ac:dyDescent="0.55000000000000004">
      <c r="A379" s="6"/>
      <c r="B379" s="8"/>
      <c r="E379" s="6"/>
      <c r="F379" s="6"/>
      <c r="G379" s="8"/>
      <c r="J379" s="5"/>
      <c r="K379" s="7"/>
      <c r="L379" s="6"/>
      <c r="M379" s="5"/>
    </row>
    <row r="380" spans="1:13" x14ac:dyDescent="0.55000000000000004">
      <c r="A380" s="6"/>
      <c r="B380" s="8"/>
      <c r="E380" s="6"/>
      <c r="F380" s="6"/>
      <c r="G380" s="8"/>
      <c r="J380" s="5"/>
      <c r="K380" s="7"/>
      <c r="L380" s="6"/>
      <c r="M380" s="5"/>
    </row>
    <row r="381" spans="1:13" x14ac:dyDescent="0.55000000000000004">
      <c r="A381" s="6"/>
      <c r="B381" s="8"/>
      <c r="E381" s="6"/>
      <c r="F381" s="6"/>
      <c r="G381" s="8"/>
      <c r="J381" s="5"/>
      <c r="K381" s="7"/>
      <c r="L381" s="6"/>
      <c r="M381" s="5"/>
    </row>
    <row r="382" spans="1:13" x14ac:dyDescent="0.55000000000000004">
      <c r="A382" s="6"/>
      <c r="B382" s="8"/>
      <c r="E382" s="6"/>
      <c r="F382" s="6"/>
      <c r="G382" s="8"/>
      <c r="J382" s="5"/>
      <c r="K382" s="7"/>
      <c r="L382" s="6"/>
      <c r="M382" s="5"/>
    </row>
    <row r="383" spans="1:13" x14ac:dyDescent="0.55000000000000004">
      <c r="A383" s="6"/>
      <c r="B383" s="8"/>
      <c r="E383" s="6"/>
      <c r="F383" s="6"/>
      <c r="G383" s="8"/>
      <c r="J383" s="5"/>
      <c r="K383" s="7"/>
      <c r="L383" s="6"/>
      <c r="M383" s="5"/>
    </row>
    <row r="384" spans="1:13" x14ac:dyDescent="0.55000000000000004">
      <c r="A384" s="6"/>
      <c r="B384" s="8"/>
      <c r="E384" s="6"/>
      <c r="F384" s="6"/>
      <c r="G384" s="8"/>
      <c r="J384" s="5"/>
      <c r="K384" s="7"/>
      <c r="L384" s="6"/>
      <c r="M384" s="5"/>
    </row>
    <row r="385" spans="1:13" x14ac:dyDescent="0.55000000000000004">
      <c r="A385" s="6"/>
      <c r="B385" s="8"/>
      <c r="E385" s="6"/>
      <c r="F385" s="6"/>
      <c r="G385" s="8"/>
      <c r="J385" s="5"/>
      <c r="K385" s="7"/>
      <c r="L385" s="6"/>
      <c r="M385" s="5"/>
    </row>
    <row r="386" spans="1:13" x14ac:dyDescent="0.55000000000000004">
      <c r="A386" s="6"/>
      <c r="B386" s="8"/>
      <c r="E386" s="6"/>
      <c r="F386" s="6"/>
      <c r="G386" s="8"/>
      <c r="J386" s="5"/>
      <c r="K386" s="7"/>
      <c r="L386" s="6"/>
      <c r="M386" s="5"/>
    </row>
    <row r="387" spans="1:13" x14ac:dyDescent="0.55000000000000004">
      <c r="A387" s="6"/>
      <c r="B387" s="8"/>
      <c r="E387" s="6"/>
      <c r="F387" s="6"/>
      <c r="G387" s="8"/>
      <c r="J387" s="5"/>
      <c r="K387" s="7"/>
      <c r="L387" s="6"/>
      <c r="M387" s="5"/>
    </row>
    <row r="388" spans="1:13" x14ac:dyDescent="0.55000000000000004">
      <c r="A388" s="6"/>
      <c r="B388" s="8"/>
      <c r="E388" s="6"/>
      <c r="F388" s="6"/>
      <c r="G388" s="8"/>
      <c r="J388" s="5"/>
      <c r="K388" s="7"/>
      <c r="L388" s="6"/>
      <c r="M388" s="5"/>
    </row>
    <row r="389" spans="1:13" x14ac:dyDescent="0.55000000000000004">
      <c r="A389" s="6"/>
      <c r="B389" s="8"/>
      <c r="E389" s="6"/>
      <c r="F389" s="6"/>
      <c r="G389" s="8"/>
      <c r="J389" s="5"/>
      <c r="K389" s="7"/>
      <c r="L389" s="6"/>
      <c r="M389" s="5"/>
    </row>
    <row r="390" spans="1:13" x14ac:dyDescent="0.55000000000000004">
      <c r="A390" s="6"/>
      <c r="B390" s="8"/>
      <c r="E390" s="6"/>
      <c r="F390" s="6"/>
      <c r="G390" s="8"/>
      <c r="J390" s="5"/>
      <c r="K390" s="7"/>
      <c r="L390" s="6"/>
      <c r="M390" s="5"/>
    </row>
    <row r="391" spans="1:13" x14ac:dyDescent="0.55000000000000004">
      <c r="A391" s="6"/>
      <c r="B391" s="8"/>
      <c r="E391" s="6"/>
      <c r="F391" s="6"/>
      <c r="G391" s="8"/>
      <c r="J391" s="5"/>
      <c r="K391" s="7"/>
      <c r="L391" s="6"/>
      <c r="M391" s="5"/>
    </row>
    <row r="392" spans="1:13" x14ac:dyDescent="0.55000000000000004">
      <c r="A392" s="6"/>
      <c r="B392" s="8"/>
      <c r="E392" s="6"/>
      <c r="F392" s="6"/>
      <c r="G392" s="8"/>
      <c r="J392" s="5"/>
      <c r="K392" s="7"/>
      <c r="L392" s="6"/>
      <c r="M392" s="5"/>
    </row>
    <row r="393" spans="1:13" x14ac:dyDescent="0.55000000000000004">
      <c r="A393" s="6"/>
      <c r="B393" s="8"/>
      <c r="E393" s="6"/>
      <c r="F393" s="6"/>
      <c r="G393" s="8"/>
      <c r="J393" s="5"/>
      <c r="K393" s="7"/>
      <c r="L393" s="6"/>
      <c r="M393" s="5"/>
    </row>
    <row r="394" spans="1:13" x14ac:dyDescent="0.55000000000000004">
      <c r="A394" s="6"/>
      <c r="B394" s="8"/>
      <c r="E394" s="6"/>
      <c r="F394" s="6"/>
      <c r="G394" s="8"/>
      <c r="J394" s="5"/>
      <c r="K394" s="7"/>
      <c r="L394" s="6"/>
      <c r="M394" s="5"/>
    </row>
    <row r="395" spans="1:13" x14ac:dyDescent="0.55000000000000004">
      <c r="A395" s="6"/>
      <c r="B395" s="8"/>
      <c r="E395" s="6"/>
      <c r="F395" s="6"/>
      <c r="G395" s="8"/>
      <c r="J395" s="5"/>
      <c r="K395" s="7"/>
      <c r="L395" s="6"/>
      <c r="M395" s="5"/>
    </row>
    <row r="396" spans="1:13" x14ac:dyDescent="0.55000000000000004">
      <c r="A396" s="6"/>
      <c r="B396" s="8"/>
      <c r="E396" s="6"/>
      <c r="F396" s="6"/>
      <c r="G396" s="8"/>
      <c r="J396" s="5"/>
      <c r="K396" s="7"/>
      <c r="L396" s="6"/>
      <c r="M396" s="5"/>
    </row>
    <row r="397" spans="1:13" x14ac:dyDescent="0.55000000000000004">
      <c r="A397" s="6"/>
      <c r="B397" s="8"/>
      <c r="E397" s="6"/>
      <c r="F397" s="6"/>
      <c r="G397" s="8"/>
      <c r="J397" s="5"/>
      <c r="K397" s="7"/>
      <c r="L397" s="6"/>
      <c r="M397" s="5"/>
    </row>
    <row r="398" spans="1:13" x14ac:dyDescent="0.55000000000000004">
      <c r="A398" s="6"/>
      <c r="B398" s="8"/>
      <c r="E398" s="6"/>
      <c r="F398" s="6"/>
      <c r="G398" s="8"/>
      <c r="J398" s="5"/>
      <c r="K398" s="7"/>
      <c r="L398" s="6"/>
      <c r="M398" s="5"/>
    </row>
    <row r="399" spans="1:13" x14ac:dyDescent="0.55000000000000004">
      <c r="A399" s="6"/>
      <c r="B399" s="8"/>
      <c r="E399" s="6"/>
      <c r="F399" s="6"/>
      <c r="G399" s="8"/>
      <c r="J399" s="5"/>
      <c r="K399" s="7"/>
      <c r="L399" s="6"/>
      <c r="M399" s="5"/>
    </row>
    <row r="400" spans="1:13" x14ac:dyDescent="0.55000000000000004">
      <c r="A400" s="6"/>
      <c r="B400" s="8"/>
      <c r="E400" s="6"/>
      <c r="F400" s="6"/>
      <c r="G400" s="8"/>
      <c r="J400" s="5"/>
      <c r="K400" s="7"/>
      <c r="L400" s="6"/>
      <c r="M400" s="5"/>
    </row>
    <row r="401" spans="1:13" x14ac:dyDescent="0.55000000000000004">
      <c r="A401" s="6"/>
      <c r="B401" s="8"/>
      <c r="E401" s="6"/>
      <c r="F401" s="6"/>
      <c r="G401" s="8"/>
      <c r="J401" s="5"/>
      <c r="K401" s="7"/>
      <c r="L401" s="6"/>
      <c r="M401" s="5"/>
    </row>
    <row r="402" spans="1:13" x14ac:dyDescent="0.55000000000000004">
      <c r="A402" s="6"/>
      <c r="B402" s="8"/>
      <c r="E402" s="6"/>
      <c r="F402" s="6"/>
      <c r="G402" s="8"/>
      <c r="J402" s="5"/>
      <c r="K402" s="7"/>
      <c r="L402" s="6"/>
      <c r="M402" s="5"/>
    </row>
    <row r="403" spans="1:13" x14ac:dyDescent="0.55000000000000004">
      <c r="A403" s="6"/>
      <c r="B403" s="8"/>
      <c r="E403" s="6"/>
      <c r="F403" s="6"/>
      <c r="G403" s="8"/>
      <c r="J403" s="5"/>
      <c r="K403" s="7"/>
      <c r="L403" s="6"/>
      <c r="M403" s="5"/>
    </row>
    <row r="404" spans="1:13" x14ac:dyDescent="0.55000000000000004">
      <c r="A404" s="6"/>
      <c r="B404" s="8"/>
      <c r="E404" s="6"/>
      <c r="F404" s="6"/>
      <c r="G404" s="8"/>
      <c r="J404" s="5"/>
      <c r="K404" s="7"/>
      <c r="L404" s="6"/>
      <c r="M404" s="5"/>
    </row>
    <row r="405" spans="1:13" x14ac:dyDescent="0.55000000000000004">
      <c r="A405" s="6"/>
      <c r="B405" s="8"/>
      <c r="E405" s="6"/>
      <c r="F405" s="6"/>
      <c r="G405" s="8"/>
      <c r="J405" s="5"/>
      <c r="K405" s="7"/>
      <c r="L405" s="6"/>
      <c r="M405" s="5"/>
    </row>
    <row r="406" spans="1:13" x14ac:dyDescent="0.55000000000000004">
      <c r="A406" s="6"/>
      <c r="B406" s="8"/>
      <c r="E406" s="6"/>
      <c r="F406" s="6"/>
      <c r="G406" s="8"/>
      <c r="J406" s="5"/>
      <c r="K406" s="7"/>
      <c r="L406" s="6"/>
      <c r="M406" s="5"/>
    </row>
    <row r="407" spans="1:13" x14ac:dyDescent="0.55000000000000004">
      <c r="A407" s="6"/>
      <c r="B407" s="8"/>
      <c r="E407" s="6"/>
      <c r="F407" s="6"/>
      <c r="G407" s="8"/>
      <c r="J407" s="5"/>
      <c r="K407" s="7"/>
      <c r="L407" s="6"/>
      <c r="M407" s="5"/>
    </row>
    <row r="408" spans="1:13" x14ac:dyDescent="0.55000000000000004">
      <c r="A408" s="6"/>
      <c r="B408" s="8"/>
      <c r="E408" s="6"/>
      <c r="F408" s="6"/>
      <c r="G408" s="8"/>
      <c r="J408" s="5"/>
      <c r="K408" s="7"/>
      <c r="L408" s="6"/>
      <c r="M408" s="5"/>
    </row>
    <row r="409" spans="1:13" x14ac:dyDescent="0.55000000000000004">
      <c r="A409" s="6"/>
      <c r="B409" s="8"/>
      <c r="E409" s="6"/>
      <c r="F409" s="6"/>
      <c r="G409" s="8"/>
      <c r="J409" s="5"/>
      <c r="K409" s="7"/>
      <c r="L409" s="6"/>
      <c r="M409" s="5"/>
    </row>
    <row r="410" spans="1:13" x14ac:dyDescent="0.55000000000000004">
      <c r="A410" s="6"/>
      <c r="B410" s="8"/>
      <c r="E410" s="6"/>
      <c r="F410" s="6"/>
      <c r="G410" s="8"/>
      <c r="J410" s="5"/>
      <c r="K410" s="7"/>
      <c r="L410" s="6"/>
      <c r="M410" s="5"/>
    </row>
    <row r="411" spans="1:13" x14ac:dyDescent="0.55000000000000004">
      <c r="A411" s="6"/>
      <c r="B411" s="8"/>
      <c r="E411" s="6"/>
      <c r="F411" s="6"/>
      <c r="G411" s="8"/>
      <c r="J411" s="5"/>
      <c r="K411" s="7"/>
      <c r="L411" s="6"/>
      <c r="M411" s="5"/>
    </row>
    <row r="412" spans="1:13" x14ac:dyDescent="0.55000000000000004">
      <c r="A412" s="6"/>
      <c r="B412" s="8"/>
      <c r="E412" s="6"/>
      <c r="F412" s="6"/>
      <c r="G412" s="8"/>
      <c r="J412" s="5"/>
      <c r="K412" s="7"/>
      <c r="L412" s="6"/>
      <c r="M412" s="5"/>
    </row>
    <row r="413" spans="1:13" x14ac:dyDescent="0.55000000000000004">
      <c r="A413" s="6"/>
      <c r="B413" s="8"/>
      <c r="E413" s="6"/>
      <c r="F413" s="6"/>
      <c r="G413" s="8"/>
      <c r="J413" s="5"/>
      <c r="K413" s="7"/>
      <c r="L413" s="6"/>
      <c r="M413" s="5"/>
    </row>
    <row r="414" spans="1:13" x14ac:dyDescent="0.55000000000000004">
      <c r="A414" s="6"/>
      <c r="B414" s="8"/>
      <c r="E414" s="6"/>
      <c r="F414" s="6"/>
      <c r="G414" s="8"/>
      <c r="J414" s="5"/>
      <c r="K414" s="7"/>
      <c r="L414" s="6"/>
      <c r="M414" s="5"/>
    </row>
    <row r="415" spans="1:13" x14ac:dyDescent="0.55000000000000004">
      <c r="A415" s="6"/>
      <c r="B415" s="8"/>
      <c r="E415" s="6"/>
      <c r="F415" s="6"/>
      <c r="G415" s="8"/>
      <c r="J415" s="5"/>
      <c r="K415" s="7"/>
      <c r="L415" s="6"/>
      <c r="M415" s="5"/>
    </row>
    <row r="416" spans="1:13" x14ac:dyDescent="0.55000000000000004">
      <c r="A416" s="6"/>
      <c r="B416" s="8"/>
      <c r="E416" s="6"/>
      <c r="F416" s="6"/>
      <c r="G416" s="8"/>
      <c r="J416" s="5"/>
      <c r="K416" s="7"/>
      <c r="L416" s="6"/>
      <c r="M416" s="5"/>
    </row>
    <row r="417" spans="1:13" x14ac:dyDescent="0.55000000000000004">
      <c r="A417" s="6"/>
      <c r="B417" s="8"/>
      <c r="E417" s="6"/>
      <c r="F417" s="6"/>
      <c r="G417" s="8"/>
      <c r="J417" s="5"/>
      <c r="K417" s="7"/>
      <c r="L417" s="6"/>
      <c r="M417" s="5"/>
    </row>
    <row r="418" spans="1:13" x14ac:dyDescent="0.55000000000000004">
      <c r="A418" s="6"/>
      <c r="B418" s="8"/>
      <c r="E418" s="6"/>
      <c r="F418" s="6"/>
      <c r="G418" s="8"/>
      <c r="J418" s="5"/>
      <c r="K418" s="7"/>
      <c r="L418" s="6"/>
      <c r="M418" s="5"/>
    </row>
    <row r="419" spans="1:13" x14ac:dyDescent="0.55000000000000004">
      <c r="A419" s="6"/>
      <c r="B419" s="8"/>
      <c r="E419" s="6"/>
      <c r="F419" s="6"/>
      <c r="G419" s="8"/>
      <c r="J419" s="5"/>
      <c r="K419" s="7"/>
      <c r="L419" s="6"/>
      <c r="M419" s="5"/>
    </row>
    <row r="420" spans="1:13" x14ac:dyDescent="0.55000000000000004">
      <c r="A420" s="6"/>
      <c r="B420" s="8"/>
      <c r="E420" s="6"/>
      <c r="F420" s="6"/>
      <c r="G420" s="8"/>
      <c r="J420" s="5"/>
      <c r="K420" s="7"/>
      <c r="L420" s="6"/>
      <c r="M420" s="5"/>
    </row>
    <row r="421" spans="1:13" x14ac:dyDescent="0.55000000000000004">
      <c r="A421" s="6"/>
      <c r="B421" s="8"/>
      <c r="E421" s="6"/>
      <c r="F421" s="6"/>
      <c r="G421" s="8"/>
      <c r="J421" s="5"/>
      <c r="K421" s="7"/>
      <c r="L421" s="6"/>
      <c r="M421" s="5"/>
    </row>
    <row r="422" spans="1:13" x14ac:dyDescent="0.55000000000000004">
      <c r="A422" s="6"/>
      <c r="B422" s="8"/>
      <c r="E422" s="6"/>
      <c r="F422" s="6"/>
      <c r="G422" s="8"/>
      <c r="J422" s="5"/>
      <c r="K422" s="7"/>
      <c r="L422" s="6"/>
      <c r="M422" s="5"/>
    </row>
    <row r="423" spans="1:13" x14ac:dyDescent="0.55000000000000004">
      <c r="A423" s="6"/>
      <c r="B423" s="8"/>
      <c r="E423" s="6"/>
      <c r="F423" s="6"/>
      <c r="G423" s="8"/>
      <c r="J423" s="5"/>
      <c r="K423" s="7"/>
      <c r="L423" s="6"/>
      <c r="M423" s="5"/>
    </row>
    <row r="424" spans="1:13" x14ac:dyDescent="0.55000000000000004">
      <c r="A424" s="6"/>
      <c r="B424" s="8"/>
      <c r="E424" s="6"/>
      <c r="F424" s="6"/>
      <c r="G424" s="8"/>
      <c r="J424" s="5"/>
      <c r="K424" s="7"/>
      <c r="L424" s="6"/>
      <c r="M424" s="5"/>
    </row>
    <row r="425" spans="1:13" x14ac:dyDescent="0.55000000000000004">
      <c r="A425" s="6"/>
      <c r="B425" s="8"/>
      <c r="E425" s="6"/>
      <c r="F425" s="6"/>
      <c r="G425" s="8"/>
      <c r="J425" s="5"/>
      <c r="K425" s="7"/>
      <c r="L425" s="6"/>
      <c r="M425" s="5"/>
    </row>
    <row r="426" spans="1:13" x14ac:dyDescent="0.55000000000000004">
      <c r="A426" s="6"/>
      <c r="B426" s="8"/>
      <c r="E426" s="6"/>
      <c r="F426" s="6"/>
      <c r="G426" s="8"/>
      <c r="J426" s="5"/>
      <c r="K426" s="7"/>
      <c r="L426" s="6"/>
      <c r="M426" s="5"/>
    </row>
    <row r="427" spans="1:13" x14ac:dyDescent="0.55000000000000004">
      <c r="A427" s="6"/>
      <c r="B427" s="8"/>
      <c r="E427" s="6"/>
      <c r="F427" s="6"/>
      <c r="G427" s="8"/>
      <c r="J427" s="5"/>
      <c r="K427" s="7"/>
      <c r="L427" s="6"/>
      <c r="M427" s="5"/>
    </row>
    <row r="428" spans="1:13" x14ac:dyDescent="0.55000000000000004">
      <c r="A428" s="6"/>
      <c r="B428" s="8"/>
      <c r="E428" s="6"/>
      <c r="F428" s="6"/>
      <c r="G428" s="8"/>
      <c r="J428" s="5"/>
      <c r="K428" s="7"/>
      <c r="L428" s="6"/>
      <c r="M428" s="5"/>
    </row>
    <row r="429" spans="1:13" x14ac:dyDescent="0.55000000000000004">
      <c r="A429" s="6"/>
      <c r="B429" s="8"/>
      <c r="E429" s="6"/>
      <c r="F429" s="6"/>
      <c r="G429" s="8"/>
      <c r="J429" s="5"/>
      <c r="K429" s="7"/>
      <c r="L429" s="6"/>
      <c r="M429" s="5"/>
    </row>
    <row r="430" spans="1:13" x14ac:dyDescent="0.55000000000000004">
      <c r="A430" s="6"/>
      <c r="B430" s="8"/>
      <c r="E430" s="6"/>
      <c r="F430" s="6"/>
      <c r="G430" s="8"/>
      <c r="J430" s="5"/>
      <c r="K430" s="7"/>
      <c r="L430" s="6"/>
      <c r="M430" s="5"/>
    </row>
    <row r="431" spans="1:13" x14ac:dyDescent="0.55000000000000004">
      <c r="A431" s="6"/>
      <c r="B431" s="8"/>
      <c r="E431" s="6"/>
      <c r="F431" s="6"/>
      <c r="G431" s="8"/>
      <c r="J431" s="5"/>
      <c r="K431" s="7"/>
      <c r="L431" s="6"/>
      <c r="M431" s="5"/>
    </row>
    <row r="432" spans="1:13" x14ac:dyDescent="0.55000000000000004">
      <c r="A432" s="6"/>
      <c r="B432" s="8"/>
      <c r="E432" s="6"/>
      <c r="F432" s="6"/>
      <c r="G432" s="8"/>
      <c r="J432" s="5"/>
      <c r="K432" s="7"/>
      <c r="L432" s="6"/>
      <c r="M432" s="5"/>
    </row>
    <row r="433" spans="1:13" x14ac:dyDescent="0.55000000000000004">
      <c r="A433" s="6"/>
      <c r="B433" s="8"/>
      <c r="E433" s="6"/>
      <c r="F433" s="6"/>
      <c r="G433" s="8"/>
      <c r="J433" s="5"/>
      <c r="K433" s="7"/>
      <c r="L433" s="6"/>
      <c r="M433" s="5"/>
    </row>
    <row r="434" spans="1:13" x14ac:dyDescent="0.55000000000000004">
      <c r="A434" s="6"/>
      <c r="B434" s="8"/>
      <c r="E434" s="6"/>
      <c r="F434" s="6"/>
      <c r="G434" s="8"/>
      <c r="J434" s="5"/>
      <c r="K434" s="7"/>
      <c r="L434" s="6"/>
      <c r="M434" s="5"/>
    </row>
    <row r="435" spans="1:13" x14ac:dyDescent="0.55000000000000004">
      <c r="A435" s="6"/>
      <c r="B435" s="8"/>
      <c r="E435" s="6"/>
      <c r="F435" s="6"/>
      <c r="G435" s="8"/>
      <c r="J435" s="5"/>
      <c r="K435" s="7"/>
      <c r="L435" s="6"/>
      <c r="M435" s="5"/>
    </row>
    <row r="436" spans="1:13" x14ac:dyDescent="0.55000000000000004">
      <c r="A436" s="6"/>
      <c r="B436" s="8"/>
      <c r="E436" s="6"/>
      <c r="F436" s="6"/>
      <c r="G436" s="8"/>
      <c r="J436" s="5"/>
      <c r="K436" s="7"/>
      <c r="L436" s="6"/>
      <c r="M436" s="5"/>
    </row>
    <row r="437" spans="1:13" x14ac:dyDescent="0.55000000000000004">
      <c r="A437" s="6"/>
      <c r="B437" s="8"/>
      <c r="E437" s="6"/>
      <c r="F437" s="6"/>
      <c r="G437" s="8"/>
      <c r="J437" s="5"/>
      <c r="K437" s="7"/>
      <c r="L437" s="6"/>
      <c r="M437" s="5"/>
    </row>
    <row r="438" spans="1:13" x14ac:dyDescent="0.55000000000000004">
      <c r="A438" s="6"/>
      <c r="B438" s="8"/>
      <c r="E438" s="6"/>
      <c r="F438" s="6"/>
      <c r="G438" s="8"/>
      <c r="J438" s="5"/>
      <c r="K438" s="7"/>
      <c r="L438" s="6"/>
      <c r="M438" s="5"/>
    </row>
    <row r="439" spans="1:13" x14ac:dyDescent="0.55000000000000004">
      <c r="A439" s="6"/>
      <c r="B439" s="8"/>
      <c r="E439" s="6"/>
      <c r="F439" s="6"/>
      <c r="G439" s="8"/>
      <c r="J439" s="5"/>
      <c r="K439" s="7"/>
      <c r="L439" s="6"/>
      <c r="M439" s="5"/>
    </row>
    <row r="440" spans="1:13" x14ac:dyDescent="0.55000000000000004">
      <c r="A440" s="6"/>
      <c r="B440" s="8"/>
      <c r="E440" s="6"/>
      <c r="F440" s="6"/>
      <c r="G440" s="8"/>
      <c r="J440" s="5"/>
      <c r="K440" s="7"/>
      <c r="L440" s="6"/>
      <c r="M440" s="5"/>
    </row>
    <row r="441" spans="1:13" x14ac:dyDescent="0.55000000000000004">
      <c r="A441" s="6"/>
      <c r="B441" s="8"/>
      <c r="E441" s="6"/>
      <c r="F441" s="6"/>
      <c r="G441" s="8"/>
      <c r="J441" s="5"/>
      <c r="K441" s="7"/>
      <c r="L441" s="6"/>
      <c r="M441" s="5"/>
    </row>
    <row r="442" spans="1:13" x14ac:dyDescent="0.55000000000000004">
      <c r="A442" s="6"/>
      <c r="B442" s="8"/>
      <c r="E442" s="6"/>
      <c r="F442" s="6"/>
      <c r="G442" s="8"/>
      <c r="J442" s="5"/>
      <c r="K442" s="7"/>
      <c r="L442" s="6"/>
      <c r="M442" s="5"/>
    </row>
    <row r="443" spans="1:13" x14ac:dyDescent="0.55000000000000004">
      <c r="A443" s="6"/>
      <c r="B443" s="8"/>
      <c r="E443" s="6"/>
      <c r="F443" s="6"/>
      <c r="G443" s="8"/>
      <c r="J443" s="5"/>
      <c r="K443" s="7"/>
      <c r="L443" s="6"/>
      <c r="M443" s="5"/>
    </row>
    <row r="444" spans="1:13" x14ac:dyDescent="0.55000000000000004">
      <c r="A444" s="6"/>
      <c r="B444" s="8"/>
      <c r="E444" s="6"/>
      <c r="F444" s="6"/>
      <c r="G444" s="8"/>
      <c r="J444" s="5"/>
      <c r="K444" s="7"/>
      <c r="L444" s="6"/>
      <c r="M444" s="5"/>
    </row>
    <row r="445" spans="1:13" x14ac:dyDescent="0.55000000000000004">
      <c r="A445" s="6"/>
      <c r="B445" s="8"/>
      <c r="E445" s="6"/>
      <c r="F445" s="6"/>
      <c r="G445" s="8"/>
      <c r="J445" s="5"/>
      <c r="K445" s="7"/>
      <c r="L445" s="6"/>
      <c r="M445" s="5"/>
    </row>
    <row r="446" spans="1:13" x14ac:dyDescent="0.55000000000000004">
      <c r="A446" s="6"/>
      <c r="B446" s="8"/>
      <c r="E446" s="6"/>
      <c r="F446" s="6"/>
      <c r="G446" s="8"/>
      <c r="J446" s="5"/>
      <c r="K446" s="7"/>
      <c r="L446" s="6"/>
      <c r="M446" s="5"/>
    </row>
    <row r="447" spans="1:13" x14ac:dyDescent="0.55000000000000004">
      <c r="A447" s="6"/>
      <c r="B447" s="8"/>
      <c r="E447" s="6"/>
      <c r="F447" s="6"/>
      <c r="G447" s="8"/>
      <c r="J447" s="5"/>
      <c r="K447" s="7"/>
      <c r="L447" s="6"/>
      <c r="M447" s="5"/>
    </row>
    <row r="448" spans="1:13" x14ac:dyDescent="0.55000000000000004">
      <c r="A448" s="6"/>
      <c r="B448" s="8"/>
      <c r="E448" s="6"/>
      <c r="F448" s="6"/>
      <c r="G448" s="8"/>
      <c r="J448" s="5"/>
      <c r="K448" s="7"/>
      <c r="L448" s="6"/>
      <c r="M448" s="5"/>
    </row>
    <row r="449" spans="1:13" x14ac:dyDescent="0.55000000000000004">
      <c r="A449" s="6"/>
      <c r="B449" s="8"/>
      <c r="E449" s="6"/>
      <c r="F449" s="6"/>
      <c r="G449" s="8"/>
      <c r="J449" s="5"/>
      <c r="K449" s="7"/>
      <c r="L449" s="6"/>
      <c r="M449" s="5"/>
    </row>
    <row r="450" spans="1:13" x14ac:dyDescent="0.55000000000000004">
      <c r="A450" s="6"/>
      <c r="B450" s="8"/>
      <c r="E450" s="6"/>
      <c r="F450" s="6"/>
      <c r="G450" s="8"/>
      <c r="K450" s="7"/>
      <c r="L450" s="6"/>
      <c r="M450" s="5"/>
    </row>
    <row r="451" spans="1:13" x14ac:dyDescent="0.55000000000000004">
      <c r="A451" s="6"/>
      <c r="B451" s="8"/>
      <c r="E451" s="6"/>
      <c r="F451" s="6"/>
      <c r="G451" s="8"/>
      <c r="K451" s="7"/>
      <c r="L451" s="6"/>
      <c r="M451" s="5"/>
    </row>
    <row r="452" spans="1:13" x14ac:dyDescent="0.55000000000000004">
      <c r="A452" s="6"/>
      <c r="B452" s="8"/>
      <c r="E452" s="6"/>
      <c r="F452" s="6"/>
      <c r="G452" s="8"/>
      <c r="K452" s="7"/>
      <c r="L452" s="6"/>
      <c r="M452" s="5"/>
    </row>
    <row r="453" spans="1:13" x14ac:dyDescent="0.55000000000000004">
      <c r="A453" s="6"/>
      <c r="B453" s="8"/>
      <c r="E453" s="6"/>
      <c r="F453" s="6"/>
      <c r="G453" s="8"/>
      <c r="K453" s="7"/>
      <c r="L453" s="6"/>
      <c r="M453" s="5"/>
    </row>
    <row r="454" spans="1:13" x14ac:dyDescent="0.55000000000000004">
      <c r="A454" s="6"/>
      <c r="B454" s="8"/>
      <c r="E454" s="6"/>
      <c r="F454" s="6"/>
      <c r="G454" s="8"/>
      <c r="K454" s="7"/>
      <c r="L454" s="6"/>
      <c r="M454" s="5"/>
    </row>
    <row r="455" spans="1:13" x14ac:dyDescent="0.55000000000000004">
      <c r="A455" s="6"/>
      <c r="B455" s="8"/>
      <c r="E455" s="6"/>
      <c r="F455" s="6"/>
      <c r="G455" s="8"/>
      <c r="K455" s="7"/>
      <c r="L455" s="6"/>
      <c r="M455" s="5"/>
    </row>
    <row r="456" spans="1:13" x14ac:dyDescent="0.55000000000000004">
      <c r="A456" s="6"/>
      <c r="B456" s="8"/>
      <c r="E456" s="6"/>
      <c r="F456" s="6"/>
      <c r="G456" s="8"/>
      <c r="K456" s="7"/>
      <c r="L456" s="6"/>
      <c r="M456" s="5"/>
    </row>
    <row r="457" spans="1:13" x14ac:dyDescent="0.55000000000000004">
      <c r="A457" s="6"/>
      <c r="B457" s="8"/>
      <c r="E457" s="6"/>
      <c r="F457" s="6"/>
      <c r="G457" s="8"/>
      <c r="K457" s="7"/>
      <c r="L457" s="6"/>
      <c r="M457" s="5"/>
    </row>
    <row r="458" spans="1:13" x14ac:dyDescent="0.55000000000000004">
      <c r="A458" s="6"/>
      <c r="B458" s="8"/>
      <c r="E458" s="6"/>
      <c r="F458" s="6"/>
      <c r="G458" s="8"/>
      <c r="K458" s="7"/>
      <c r="L458" s="6"/>
      <c r="M458" s="5"/>
    </row>
    <row r="459" spans="1:13" x14ac:dyDescent="0.55000000000000004">
      <c r="A459" s="6"/>
      <c r="B459" s="8"/>
      <c r="E459" s="6"/>
      <c r="F459" s="6"/>
      <c r="G459" s="8"/>
      <c r="K459" s="7"/>
      <c r="L459" s="6"/>
      <c r="M459" s="5"/>
    </row>
    <row r="460" spans="1:13" x14ac:dyDescent="0.55000000000000004">
      <c r="A460" s="6"/>
      <c r="B460" s="8"/>
      <c r="E460" s="6"/>
      <c r="F460" s="6"/>
      <c r="G460" s="8"/>
      <c r="K460" s="7"/>
      <c r="L460" s="6"/>
      <c r="M460" s="5"/>
    </row>
    <row r="461" spans="1:13" x14ac:dyDescent="0.55000000000000004">
      <c r="A461" s="6"/>
      <c r="B461" s="8"/>
      <c r="E461" s="6"/>
      <c r="F461" s="6"/>
      <c r="G461" s="8"/>
      <c r="K461" s="7"/>
      <c r="L461" s="6"/>
      <c r="M461" s="5"/>
    </row>
    <row r="462" spans="1:13" x14ac:dyDescent="0.55000000000000004">
      <c r="A462" s="6"/>
      <c r="B462" s="8"/>
      <c r="E462" s="6"/>
      <c r="F462" s="6"/>
      <c r="G462" s="8"/>
      <c r="K462" s="7"/>
      <c r="L462" s="6"/>
      <c r="M462" s="5"/>
    </row>
    <row r="463" spans="1:13" x14ac:dyDescent="0.55000000000000004">
      <c r="A463" s="6"/>
      <c r="B463" s="8"/>
      <c r="E463" s="6"/>
      <c r="F463" s="6"/>
      <c r="G463" s="8"/>
      <c r="K463" s="7"/>
      <c r="L463" s="6"/>
      <c r="M463" s="5"/>
    </row>
    <row r="464" spans="1:13" x14ac:dyDescent="0.55000000000000004">
      <c r="A464" s="6"/>
      <c r="B464" s="8"/>
      <c r="E464" s="6"/>
      <c r="F464" s="6"/>
      <c r="G464" s="8"/>
      <c r="K464" s="7"/>
      <c r="L464" s="6"/>
      <c r="M464" s="5"/>
    </row>
    <row r="465" spans="1:13" x14ac:dyDescent="0.55000000000000004">
      <c r="A465" s="6"/>
      <c r="B465" s="8"/>
      <c r="E465" s="6"/>
      <c r="F465" s="6"/>
      <c r="G465" s="8"/>
      <c r="K465" s="7"/>
      <c r="L465" s="6"/>
      <c r="M465" s="5"/>
    </row>
    <row r="466" spans="1:13" x14ac:dyDescent="0.55000000000000004">
      <c r="A466" s="6"/>
      <c r="B466" s="8"/>
      <c r="E466" s="6"/>
      <c r="F466" s="6"/>
      <c r="G466" s="8"/>
      <c r="K466" s="7"/>
      <c r="L466" s="6"/>
      <c r="M466" s="5"/>
    </row>
    <row r="467" spans="1:13" x14ac:dyDescent="0.55000000000000004">
      <c r="A467" s="6"/>
      <c r="B467" s="8"/>
      <c r="E467" s="6"/>
      <c r="F467" s="6"/>
      <c r="G467" s="8"/>
      <c r="K467" s="7"/>
      <c r="L467" s="6"/>
      <c r="M467" s="5"/>
    </row>
    <row r="468" spans="1:13" x14ac:dyDescent="0.55000000000000004">
      <c r="A468" s="6"/>
      <c r="B468" s="8"/>
      <c r="E468" s="6"/>
      <c r="F468" s="6"/>
      <c r="G468" s="8"/>
      <c r="K468" s="7"/>
      <c r="L468" s="6"/>
      <c r="M468" s="5"/>
    </row>
    <row r="469" spans="1:13" x14ac:dyDescent="0.55000000000000004">
      <c r="A469" s="6"/>
      <c r="B469" s="8"/>
      <c r="E469" s="6"/>
      <c r="F469" s="6"/>
      <c r="G469" s="8"/>
      <c r="K469" s="7"/>
      <c r="L469" s="6"/>
      <c r="M469" s="5"/>
    </row>
    <row r="470" spans="1:13" x14ac:dyDescent="0.55000000000000004">
      <c r="A470" s="6"/>
      <c r="B470" s="8"/>
      <c r="E470" s="6"/>
      <c r="F470" s="6"/>
      <c r="G470" s="8"/>
      <c r="K470" s="7"/>
      <c r="L470" s="6"/>
      <c r="M470" s="5"/>
    </row>
    <row r="471" spans="1:13" x14ac:dyDescent="0.55000000000000004">
      <c r="A471" s="6"/>
      <c r="B471" s="8"/>
      <c r="E471" s="6"/>
      <c r="F471" s="6"/>
      <c r="G471" s="8"/>
      <c r="K471" s="7"/>
      <c r="L471" s="6"/>
      <c r="M471" s="5"/>
    </row>
    <row r="472" spans="1:13" x14ac:dyDescent="0.55000000000000004">
      <c r="A472" s="6"/>
      <c r="B472" s="8"/>
      <c r="E472" s="6"/>
      <c r="F472" s="6"/>
      <c r="G472" s="8"/>
      <c r="K472" s="7"/>
      <c r="L472" s="6"/>
      <c r="M472" s="5"/>
    </row>
    <row r="473" spans="1:13" x14ac:dyDescent="0.55000000000000004">
      <c r="A473" s="6"/>
      <c r="B473" s="8"/>
      <c r="E473" s="6"/>
      <c r="F473" s="6"/>
      <c r="G473" s="8"/>
      <c r="K473" s="7"/>
      <c r="L473" s="6"/>
      <c r="M473" s="5"/>
    </row>
    <row r="474" spans="1:13" x14ac:dyDescent="0.55000000000000004">
      <c r="A474" s="6"/>
      <c r="B474" s="8"/>
      <c r="E474" s="6"/>
      <c r="F474" s="6"/>
      <c r="G474" s="8"/>
      <c r="K474" s="7"/>
      <c r="L474" s="6"/>
      <c r="M474" s="5"/>
    </row>
    <row r="475" spans="1:13" x14ac:dyDescent="0.55000000000000004">
      <c r="A475" s="6"/>
      <c r="B475" s="8"/>
      <c r="E475" s="6"/>
      <c r="F475" s="6"/>
      <c r="G475" s="8"/>
      <c r="K475" s="7"/>
      <c r="L475" s="6"/>
      <c r="M475" s="5"/>
    </row>
    <row r="476" spans="1:13" x14ac:dyDescent="0.55000000000000004">
      <c r="A476" s="6"/>
      <c r="B476" s="8"/>
      <c r="E476" s="6"/>
      <c r="F476" s="6"/>
      <c r="G476" s="8"/>
      <c r="K476" s="7"/>
      <c r="L476" s="6"/>
      <c r="M476" s="5"/>
    </row>
    <row r="477" spans="1:13" x14ac:dyDescent="0.55000000000000004">
      <c r="A477" s="6"/>
      <c r="B477" s="8"/>
      <c r="E477" s="6"/>
      <c r="F477" s="6"/>
      <c r="G477" s="8"/>
      <c r="K477" s="7"/>
      <c r="L477" s="6"/>
      <c r="M477" s="5"/>
    </row>
    <row r="478" spans="1:13" x14ac:dyDescent="0.55000000000000004">
      <c r="A478" s="6"/>
      <c r="B478" s="8"/>
      <c r="E478" s="6"/>
      <c r="F478" s="6"/>
      <c r="G478" s="8"/>
      <c r="K478" s="7"/>
      <c r="L478" s="6"/>
      <c r="M478" s="5"/>
    </row>
    <row r="479" spans="1:13" x14ac:dyDescent="0.55000000000000004">
      <c r="A479" s="6"/>
      <c r="B479" s="8"/>
      <c r="E479" s="6"/>
      <c r="F479" s="6"/>
      <c r="G479" s="8"/>
      <c r="K479" s="7"/>
      <c r="L479" s="6"/>
      <c r="M479" s="5"/>
    </row>
    <row r="480" spans="1:13" x14ac:dyDescent="0.55000000000000004">
      <c r="A480" s="6"/>
      <c r="B480" s="8"/>
      <c r="E480" s="6"/>
      <c r="F480" s="6"/>
      <c r="G480" s="8"/>
      <c r="K480" s="7"/>
      <c r="L480" s="6"/>
      <c r="M480" s="5"/>
    </row>
    <row r="481" spans="1:13" x14ac:dyDescent="0.55000000000000004">
      <c r="A481" s="6"/>
      <c r="B481" s="8"/>
      <c r="E481" s="6"/>
      <c r="F481" s="6"/>
      <c r="G481" s="8"/>
      <c r="K481" s="7"/>
      <c r="L481" s="6"/>
      <c r="M481" s="5"/>
    </row>
    <row r="482" spans="1:13" x14ac:dyDescent="0.55000000000000004">
      <c r="A482" s="6"/>
      <c r="B482" s="8"/>
      <c r="E482" s="6"/>
      <c r="F482" s="6"/>
      <c r="G482" s="8"/>
      <c r="K482" s="7"/>
      <c r="L482" s="6"/>
      <c r="M482" s="5"/>
    </row>
    <row r="483" spans="1:13" x14ac:dyDescent="0.55000000000000004">
      <c r="A483" s="6"/>
      <c r="B483" s="8"/>
      <c r="E483" s="6"/>
      <c r="F483" s="6"/>
      <c r="G483" s="8"/>
      <c r="K483" s="7"/>
      <c r="L483" s="6"/>
      <c r="M483" s="5"/>
    </row>
    <row r="484" spans="1:13" x14ac:dyDescent="0.55000000000000004">
      <c r="A484" s="6"/>
      <c r="B484" s="8"/>
      <c r="E484" s="6"/>
      <c r="F484" s="6"/>
      <c r="G484" s="8"/>
      <c r="K484" s="7"/>
      <c r="L484" s="6"/>
      <c r="M484" s="5"/>
    </row>
    <row r="485" spans="1:13" x14ac:dyDescent="0.55000000000000004">
      <c r="A485" s="6"/>
      <c r="B485" s="8"/>
      <c r="E485" s="6"/>
      <c r="F485" s="6"/>
      <c r="G485" s="8"/>
      <c r="K485" s="7"/>
      <c r="L485" s="6"/>
      <c r="M485" s="5"/>
    </row>
    <row r="486" spans="1:13" x14ac:dyDescent="0.55000000000000004">
      <c r="A486" s="6"/>
      <c r="B486" s="8"/>
      <c r="E486" s="6"/>
      <c r="F486" s="6"/>
      <c r="G486" s="8"/>
      <c r="K486" s="7"/>
      <c r="L486" s="6"/>
      <c r="M486" s="5"/>
    </row>
    <row r="487" spans="1:13" x14ac:dyDescent="0.55000000000000004">
      <c r="A487" s="6"/>
      <c r="B487" s="8"/>
      <c r="E487" s="6"/>
      <c r="F487" s="6"/>
      <c r="G487" s="8"/>
      <c r="K487" s="7"/>
      <c r="L487" s="6"/>
      <c r="M487" s="5"/>
    </row>
    <row r="488" spans="1:13" x14ac:dyDescent="0.55000000000000004">
      <c r="A488" s="6"/>
      <c r="B488" s="8"/>
      <c r="E488" s="6"/>
      <c r="F488" s="6"/>
      <c r="G488" s="8"/>
      <c r="K488" s="7"/>
      <c r="L488" s="6"/>
      <c r="M488" s="5"/>
    </row>
    <row r="489" spans="1:13" x14ac:dyDescent="0.55000000000000004">
      <c r="A489" s="6"/>
      <c r="B489" s="8"/>
      <c r="E489" s="6"/>
      <c r="F489" s="6"/>
      <c r="G489" s="8"/>
      <c r="K489" s="7"/>
      <c r="L489" s="6"/>
      <c r="M489" s="5"/>
    </row>
    <row r="490" spans="1:13" x14ac:dyDescent="0.55000000000000004">
      <c r="A490" s="6"/>
      <c r="B490" s="8"/>
      <c r="E490" s="6"/>
      <c r="F490" s="6"/>
      <c r="G490" s="8"/>
      <c r="K490" s="7"/>
      <c r="L490" s="6"/>
      <c r="M490" s="5"/>
    </row>
    <row r="491" spans="1:13" x14ac:dyDescent="0.55000000000000004">
      <c r="A491" s="6"/>
      <c r="B491" s="8"/>
      <c r="E491" s="6"/>
      <c r="F491" s="6"/>
      <c r="G491" s="8"/>
      <c r="K491" s="7"/>
      <c r="L491" s="6"/>
      <c r="M491" s="5"/>
    </row>
    <row r="492" spans="1:13" x14ac:dyDescent="0.55000000000000004">
      <c r="A492" s="6"/>
      <c r="B492" s="8"/>
      <c r="E492" s="6"/>
      <c r="F492" s="6"/>
      <c r="G492" s="8"/>
      <c r="K492" s="7"/>
      <c r="L492" s="6"/>
      <c r="M492" s="5"/>
    </row>
    <row r="493" spans="1:13" x14ac:dyDescent="0.55000000000000004">
      <c r="A493" s="6"/>
      <c r="B493" s="8"/>
      <c r="E493" s="6"/>
      <c r="F493" s="6"/>
      <c r="G493" s="8"/>
      <c r="K493" s="7"/>
      <c r="L493" s="6"/>
      <c r="M493" s="5"/>
    </row>
    <row r="494" spans="1:13" x14ac:dyDescent="0.55000000000000004">
      <c r="A494" s="6"/>
      <c r="B494" s="8"/>
      <c r="E494" s="6"/>
      <c r="F494" s="6"/>
      <c r="G494" s="8"/>
      <c r="K494" s="7"/>
      <c r="L494" s="6"/>
      <c r="M494" s="5"/>
    </row>
    <row r="495" spans="1:13" x14ac:dyDescent="0.55000000000000004">
      <c r="A495" s="6"/>
      <c r="B495" s="8"/>
      <c r="E495" s="6"/>
      <c r="F495" s="6"/>
      <c r="G495" s="8"/>
      <c r="K495" s="7"/>
      <c r="L495" s="6"/>
      <c r="M495" s="5"/>
    </row>
    <row r="496" spans="1:13" x14ac:dyDescent="0.55000000000000004">
      <c r="A496" s="6"/>
      <c r="B496" s="8"/>
      <c r="E496" s="6"/>
      <c r="F496" s="6"/>
      <c r="G496" s="8"/>
      <c r="K496" s="7"/>
      <c r="L496" s="6"/>
      <c r="M496" s="5"/>
    </row>
    <row r="497" spans="1:13" x14ac:dyDescent="0.55000000000000004">
      <c r="A497" s="6"/>
      <c r="B497" s="8"/>
      <c r="E497" s="6"/>
      <c r="F497" s="6"/>
      <c r="G497" s="8"/>
      <c r="K497" s="7"/>
      <c r="L497" s="6"/>
      <c r="M497" s="5"/>
    </row>
    <row r="498" spans="1:13" x14ac:dyDescent="0.55000000000000004">
      <c r="A498" s="6"/>
      <c r="B498" s="8"/>
      <c r="E498" s="6"/>
      <c r="F498" s="6"/>
      <c r="G498" s="8"/>
      <c r="K498" s="7"/>
      <c r="L498" s="6"/>
      <c r="M498" s="5"/>
    </row>
    <row r="499" spans="1:13" x14ac:dyDescent="0.55000000000000004">
      <c r="A499" s="6"/>
      <c r="B499" s="8"/>
      <c r="E499" s="6"/>
      <c r="F499" s="6"/>
      <c r="G499" s="8"/>
      <c r="K499" s="7"/>
      <c r="L499" s="6"/>
      <c r="M499" s="5"/>
    </row>
    <row r="500" spans="1:13" x14ac:dyDescent="0.55000000000000004">
      <c r="A500" s="6"/>
      <c r="B500" s="8"/>
      <c r="E500" s="6"/>
      <c r="F500" s="6"/>
      <c r="G500" s="8"/>
      <c r="K500" s="7"/>
      <c r="L500" s="6"/>
      <c r="M500" s="5"/>
    </row>
    <row r="501" spans="1:13" x14ac:dyDescent="0.55000000000000004">
      <c r="A501" s="6"/>
      <c r="B501" s="8"/>
      <c r="E501" s="6"/>
      <c r="F501" s="6"/>
      <c r="G501" s="8"/>
      <c r="K501" s="7"/>
      <c r="L501" s="6"/>
      <c r="M501" s="5"/>
    </row>
    <row r="502" spans="1:13" x14ac:dyDescent="0.55000000000000004">
      <c r="A502" s="6"/>
      <c r="B502" s="8"/>
      <c r="E502" s="6"/>
      <c r="F502" s="6"/>
      <c r="G502" s="8"/>
      <c r="K502" s="7"/>
      <c r="L502" s="6"/>
      <c r="M502" s="5"/>
    </row>
    <row r="503" spans="1:13" x14ac:dyDescent="0.55000000000000004">
      <c r="A503" s="6"/>
      <c r="B503" s="8"/>
      <c r="E503" s="6"/>
      <c r="F503" s="6"/>
      <c r="G503" s="8"/>
      <c r="K503" s="7"/>
      <c r="L503" s="6"/>
      <c r="M503" s="5"/>
    </row>
    <row r="504" spans="1:13" x14ac:dyDescent="0.55000000000000004">
      <c r="A504" s="6"/>
      <c r="B504" s="8"/>
      <c r="E504" s="6"/>
      <c r="F504" s="6"/>
      <c r="G504" s="8"/>
      <c r="K504" s="7"/>
      <c r="L504" s="6"/>
      <c r="M504" s="5"/>
    </row>
    <row r="505" spans="1:13" x14ac:dyDescent="0.55000000000000004">
      <c r="A505" s="6"/>
      <c r="B505" s="8"/>
      <c r="E505" s="6"/>
      <c r="F505" s="6"/>
      <c r="G505" s="8"/>
      <c r="K505" s="7"/>
      <c r="L505" s="6"/>
      <c r="M505" s="5"/>
    </row>
    <row r="506" spans="1:13" x14ac:dyDescent="0.55000000000000004">
      <c r="A506" s="6"/>
      <c r="B506" s="8"/>
      <c r="E506" s="6"/>
      <c r="F506" s="6"/>
      <c r="G506" s="8"/>
      <c r="K506" s="7"/>
      <c r="L506" s="6"/>
      <c r="M506" s="5"/>
    </row>
    <row r="507" spans="1:13" x14ac:dyDescent="0.55000000000000004">
      <c r="A507" s="6"/>
      <c r="B507" s="8"/>
      <c r="E507" s="6"/>
      <c r="F507" s="6"/>
      <c r="G507" s="8"/>
      <c r="K507" s="7"/>
      <c r="L507" s="6"/>
      <c r="M507" s="5"/>
    </row>
    <row r="508" spans="1:13" x14ac:dyDescent="0.55000000000000004">
      <c r="A508" s="6"/>
      <c r="B508" s="8"/>
      <c r="E508" s="6"/>
      <c r="F508" s="6"/>
      <c r="G508" s="8"/>
      <c r="K508" s="7"/>
      <c r="L508" s="6"/>
      <c r="M508" s="5"/>
    </row>
    <row r="509" spans="1:13" x14ac:dyDescent="0.55000000000000004">
      <c r="A509" s="6"/>
      <c r="B509" s="8"/>
      <c r="E509" s="6"/>
      <c r="F509" s="6"/>
      <c r="G509" s="8"/>
      <c r="K509" s="7"/>
      <c r="L509" s="6"/>
      <c r="M509" s="5"/>
    </row>
    <row r="510" spans="1:13" x14ac:dyDescent="0.55000000000000004">
      <c r="A510" s="6"/>
      <c r="B510" s="8"/>
      <c r="E510" s="6"/>
      <c r="F510" s="6"/>
      <c r="G510" s="8"/>
      <c r="K510" s="7"/>
      <c r="L510" s="6"/>
      <c r="M510" s="5"/>
    </row>
    <row r="511" spans="1:13" x14ac:dyDescent="0.55000000000000004">
      <c r="A511" s="6"/>
      <c r="B511" s="8"/>
      <c r="E511" s="6"/>
      <c r="F511" s="6"/>
      <c r="G511" s="8"/>
      <c r="K511" s="7"/>
      <c r="L511" s="6"/>
      <c r="M511" s="5"/>
    </row>
    <row r="512" spans="1:13" x14ac:dyDescent="0.55000000000000004">
      <c r="A512" s="6"/>
      <c r="B512" s="8"/>
      <c r="E512" s="6"/>
      <c r="F512" s="6"/>
      <c r="G512" s="8"/>
      <c r="K512" s="7"/>
      <c r="L512" s="6"/>
      <c r="M512" s="5"/>
    </row>
    <row r="513" spans="1:13" x14ac:dyDescent="0.55000000000000004">
      <c r="A513" s="6"/>
      <c r="B513" s="8"/>
      <c r="E513" s="6"/>
      <c r="F513" s="6"/>
      <c r="G513" s="8"/>
      <c r="K513" s="7"/>
      <c r="L513" s="6"/>
      <c r="M513" s="5"/>
    </row>
    <row r="514" spans="1:13" x14ac:dyDescent="0.55000000000000004">
      <c r="A514" s="6"/>
      <c r="B514" s="8"/>
      <c r="E514" s="6"/>
      <c r="F514" s="6"/>
      <c r="G514" s="8"/>
      <c r="K514" s="7"/>
      <c r="L514" s="6"/>
      <c r="M514" s="5"/>
    </row>
    <row r="515" spans="1:13" x14ac:dyDescent="0.55000000000000004">
      <c r="A515" s="6"/>
      <c r="B515" s="8"/>
      <c r="E515" s="6"/>
      <c r="F515" s="6"/>
      <c r="G515" s="8"/>
      <c r="K515" s="7"/>
      <c r="L515" s="6"/>
      <c r="M515" s="5"/>
    </row>
    <row r="516" spans="1:13" x14ac:dyDescent="0.55000000000000004">
      <c r="A516" s="6"/>
      <c r="B516" s="8"/>
      <c r="E516" s="6"/>
      <c r="F516" s="6"/>
      <c r="G516" s="8"/>
      <c r="K516" s="7"/>
      <c r="L516" s="6"/>
      <c r="M516" s="5"/>
    </row>
    <row r="517" spans="1:13" x14ac:dyDescent="0.55000000000000004">
      <c r="A517" s="6"/>
      <c r="B517" s="8"/>
      <c r="E517" s="6"/>
      <c r="F517" s="6"/>
      <c r="G517" s="8"/>
      <c r="K517" s="7"/>
      <c r="L517" s="6"/>
      <c r="M517" s="5"/>
    </row>
    <row r="518" spans="1:13" x14ac:dyDescent="0.55000000000000004">
      <c r="A518" s="6"/>
      <c r="B518" s="8"/>
      <c r="E518" s="6"/>
      <c r="F518" s="6"/>
      <c r="G518" s="8"/>
      <c r="K518" s="7"/>
      <c r="L518" s="6"/>
      <c r="M518" s="5"/>
    </row>
    <row r="519" spans="1:13" x14ac:dyDescent="0.55000000000000004">
      <c r="A519" s="6"/>
      <c r="B519" s="8"/>
      <c r="E519" s="6"/>
      <c r="F519" s="6"/>
      <c r="G519" s="8"/>
      <c r="K519" s="7"/>
      <c r="L519" s="6"/>
      <c r="M519" s="5"/>
    </row>
    <row r="520" spans="1:13" x14ac:dyDescent="0.55000000000000004">
      <c r="A520" s="6"/>
      <c r="B520" s="8"/>
      <c r="E520" s="6"/>
      <c r="F520" s="6"/>
      <c r="G520" s="8"/>
      <c r="K520" s="7"/>
      <c r="L520" s="6"/>
      <c r="M520" s="5"/>
    </row>
    <row r="521" spans="1:13" x14ac:dyDescent="0.55000000000000004">
      <c r="A521" s="6"/>
      <c r="B521" s="8"/>
      <c r="E521" s="6"/>
      <c r="F521" s="6"/>
      <c r="G521" s="8"/>
      <c r="K521" s="7"/>
      <c r="L521" s="6"/>
      <c r="M521" s="5"/>
    </row>
    <row r="522" spans="1:13" x14ac:dyDescent="0.55000000000000004">
      <c r="A522" s="6"/>
      <c r="B522" s="8"/>
      <c r="E522" s="6"/>
      <c r="F522" s="6"/>
      <c r="G522" s="8"/>
      <c r="K522" s="7"/>
      <c r="L522" s="6"/>
      <c r="M522" s="5"/>
    </row>
    <row r="523" spans="1:13" x14ac:dyDescent="0.55000000000000004">
      <c r="A523" s="6"/>
      <c r="B523" s="8"/>
      <c r="E523" s="6"/>
      <c r="F523" s="6"/>
      <c r="G523" s="8"/>
      <c r="K523" s="7"/>
      <c r="L523" s="6"/>
      <c r="M523" s="5"/>
    </row>
    <row r="524" spans="1:13" x14ac:dyDescent="0.55000000000000004">
      <c r="A524" s="6"/>
      <c r="B524" s="8"/>
      <c r="E524" s="6"/>
      <c r="F524" s="6"/>
      <c r="G524" s="8"/>
      <c r="K524" s="7"/>
      <c r="L524" s="6"/>
      <c r="M524" s="5"/>
    </row>
    <row r="525" spans="1:13" x14ac:dyDescent="0.55000000000000004">
      <c r="A525" s="6"/>
      <c r="B525" s="8"/>
      <c r="E525" s="6"/>
      <c r="F525" s="6"/>
      <c r="G525" s="8"/>
      <c r="K525" s="7"/>
      <c r="L525" s="6"/>
      <c r="M525" s="5"/>
    </row>
    <row r="526" spans="1:13" x14ac:dyDescent="0.55000000000000004">
      <c r="A526" s="6"/>
      <c r="B526" s="8"/>
      <c r="E526" s="6"/>
      <c r="F526" s="6"/>
      <c r="G526" s="8"/>
      <c r="K526" s="7"/>
      <c r="L526" s="6"/>
      <c r="M526" s="5"/>
    </row>
    <row r="527" spans="1:13" x14ac:dyDescent="0.55000000000000004">
      <c r="A527" s="6"/>
      <c r="B527" s="8"/>
      <c r="E527" s="6"/>
      <c r="F527" s="6"/>
      <c r="G527" s="8"/>
      <c r="K527" s="7"/>
      <c r="L527" s="6"/>
      <c r="M527" s="5"/>
    </row>
    <row r="528" spans="1:13" x14ac:dyDescent="0.55000000000000004">
      <c r="A528" s="6"/>
      <c r="B528" s="8"/>
      <c r="E528" s="6"/>
      <c r="F528" s="6"/>
      <c r="G528" s="8"/>
      <c r="K528" s="7"/>
      <c r="L528" s="6"/>
      <c r="M528" s="5"/>
    </row>
    <row r="529" spans="1:13" x14ac:dyDescent="0.55000000000000004">
      <c r="A529" s="6"/>
      <c r="B529" s="8"/>
      <c r="E529" s="6"/>
      <c r="F529" s="6"/>
      <c r="G529" s="8"/>
      <c r="K529" s="7"/>
      <c r="L529" s="6"/>
      <c r="M529" s="5"/>
    </row>
    <row r="530" spans="1:13" x14ac:dyDescent="0.55000000000000004">
      <c r="A530" s="6"/>
      <c r="B530" s="8"/>
      <c r="E530" s="6"/>
      <c r="F530" s="6"/>
      <c r="G530" s="8"/>
      <c r="K530" s="7"/>
      <c r="L530" s="6"/>
      <c r="M530" s="5"/>
    </row>
    <row r="531" spans="1:13" x14ac:dyDescent="0.55000000000000004">
      <c r="A531" s="6"/>
      <c r="B531" s="8"/>
      <c r="E531" s="6"/>
      <c r="F531" s="6"/>
      <c r="G531" s="8"/>
      <c r="K531" s="7"/>
      <c r="L531" s="6"/>
      <c r="M531" s="5"/>
    </row>
    <row r="532" spans="1:13" x14ac:dyDescent="0.55000000000000004">
      <c r="A532" s="6"/>
      <c r="B532" s="8"/>
      <c r="E532" s="6"/>
      <c r="F532" s="6"/>
      <c r="G532" s="8"/>
      <c r="K532" s="7"/>
      <c r="L532" s="6"/>
      <c r="M532" s="5"/>
    </row>
    <row r="533" spans="1:13" x14ac:dyDescent="0.55000000000000004">
      <c r="A533" s="6"/>
      <c r="B533" s="8"/>
      <c r="E533" s="6"/>
      <c r="F533" s="6"/>
      <c r="G533" s="8"/>
      <c r="K533" s="7"/>
      <c r="L533" s="6"/>
      <c r="M533" s="5"/>
    </row>
    <row r="534" spans="1:13" x14ac:dyDescent="0.55000000000000004">
      <c r="A534" s="6"/>
      <c r="B534" s="8"/>
      <c r="E534" s="6"/>
      <c r="F534" s="6"/>
      <c r="G534" s="8"/>
      <c r="K534" s="7"/>
      <c r="L534" s="6"/>
      <c r="M534" s="5"/>
    </row>
    <row r="535" spans="1:13" x14ac:dyDescent="0.55000000000000004">
      <c r="A535" s="6"/>
      <c r="B535" s="8"/>
      <c r="E535" s="6"/>
      <c r="F535" s="6"/>
      <c r="G535" s="8"/>
      <c r="K535" s="7"/>
      <c r="L535" s="6"/>
      <c r="M535" s="5"/>
    </row>
    <row r="536" spans="1:13" x14ac:dyDescent="0.55000000000000004">
      <c r="A536" s="6"/>
      <c r="B536" s="8"/>
      <c r="E536" s="6"/>
      <c r="F536" s="6"/>
      <c r="G536" s="8"/>
      <c r="K536" s="7"/>
      <c r="L536" s="6"/>
      <c r="M536" s="5"/>
    </row>
    <row r="537" spans="1:13" x14ac:dyDescent="0.55000000000000004">
      <c r="A537" s="6"/>
      <c r="B537" s="8"/>
      <c r="E537" s="6"/>
      <c r="F537" s="6"/>
      <c r="G537" s="8"/>
      <c r="K537" s="7"/>
      <c r="L537" s="6"/>
      <c r="M537" s="5"/>
    </row>
    <row r="538" spans="1:13" x14ac:dyDescent="0.55000000000000004">
      <c r="A538" s="6"/>
      <c r="B538" s="8"/>
      <c r="E538" s="6"/>
      <c r="F538" s="6"/>
      <c r="G538" s="8"/>
      <c r="K538" s="7"/>
      <c r="L538" s="6"/>
      <c r="M538" s="5"/>
    </row>
    <row r="539" spans="1:13" x14ac:dyDescent="0.55000000000000004">
      <c r="A539" s="6"/>
      <c r="B539" s="8"/>
      <c r="E539" s="6"/>
      <c r="F539" s="6"/>
      <c r="G539" s="8"/>
      <c r="K539" s="7"/>
      <c r="L539" s="6"/>
      <c r="M539" s="5"/>
    </row>
    <row r="540" spans="1:13" x14ac:dyDescent="0.55000000000000004">
      <c r="A540" s="6"/>
      <c r="B540" s="8"/>
      <c r="E540" s="6"/>
      <c r="F540" s="6"/>
      <c r="G540" s="8"/>
      <c r="K540" s="7"/>
      <c r="L540" s="6"/>
      <c r="M540" s="5"/>
    </row>
    <row r="541" spans="1:13" x14ac:dyDescent="0.55000000000000004">
      <c r="A541" s="6"/>
      <c r="B541" s="8"/>
      <c r="E541" s="6"/>
      <c r="F541" s="6"/>
      <c r="G541" s="8"/>
      <c r="K541" s="7"/>
      <c r="L541" s="6"/>
      <c r="M541" s="5"/>
    </row>
    <row r="542" spans="1:13" x14ac:dyDescent="0.55000000000000004">
      <c r="A542" s="6"/>
      <c r="B542" s="8"/>
      <c r="E542" s="6"/>
      <c r="F542" s="6"/>
      <c r="G542" s="8"/>
      <c r="K542" s="7"/>
      <c r="L542" s="6"/>
      <c r="M542" s="5"/>
    </row>
    <row r="543" spans="1:13" x14ac:dyDescent="0.55000000000000004">
      <c r="A543" s="6"/>
      <c r="B543" s="8"/>
      <c r="E543" s="6"/>
      <c r="F543" s="6"/>
      <c r="G543" s="8"/>
      <c r="K543" s="7"/>
      <c r="L543" s="6"/>
      <c r="M543" s="5"/>
    </row>
    <row r="544" spans="1:13" x14ac:dyDescent="0.55000000000000004">
      <c r="A544" s="6"/>
      <c r="B544" s="8"/>
      <c r="E544" s="6"/>
      <c r="F544" s="6"/>
      <c r="G544" s="8"/>
      <c r="K544" s="7"/>
      <c r="L544" s="6"/>
      <c r="M544" s="5"/>
    </row>
    <row r="545" spans="1:13" x14ac:dyDescent="0.55000000000000004">
      <c r="A545" s="6"/>
      <c r="B545" s="8"/>
      <c r="E545" s="6"/>
      <c r="F545" s="6"/>
      <c r="G545" s="8"/>
      <c r="K545" s="7"/>
      <c r="L545" s="6"/>
      <c r="M545" s="5"/>
    </row>
    <row r="546" spans="1:13" x14ac:dyDescent="0.55000000000000004">
      <c r="A546" s="6"/>
      <c r="B546" s="8"/>
      <c r="E546" s="6"/>
      <c r="F546" s="6"/>
      <c r="G546" s="8"/>
      <c r="K546" s="7"/>
      <c r="L546" s="6"/>
      <c r="M546" s="5"/>
    </row>
    <row r="547" spans="1:13" x14ac:dyDescent="0.55000000000000004">
      <c r="A547" s="6"/>
      <c r="B547" s="8"/>
      <c r="E547" s="6"/>
      <c r="F547" s="6"/>
      <c r="G547" s="8"/>
      <c r="K547" s="7"/>
      <c r="L547" s="6"/>
      <c r="M547" s="5"/>
    </row>
    <row r="548" spans="1:13" x14ac:dyDescent="0.55000000000000004">
      <c r="A548" s="6"/>
      <c r="B548" s="8"/>
      <c r="E548" s="6"/>
      <c r="F548" s="6"/>
      <c r="G548" s="8"/>
      <c r="K548" s="7"/>
      <c r="L548" s="6"/>
      <c r="M548" s="5"/>
    </row>
    <row r="549" spans="1:13" x14ac:dyDescent="0.55000000000000004">
      <c r="A549" s="6"/>
      <c r="B549" s="8"/>
      <c r="E549" s="6"/>
      <c r="F549" s="6"/>
      <c r="G549" s="8"/>
      <c r="K549" s="7"/>
      <c r="L549" s="6"/>
      <c r="M549" s="5"/>
    </row>
    <row r="550" spans="1:13" x14ac:dyDescent="0.55000000000000004">
      <c r="A550" s="6"/>
      <c r="B550" s="8"/>
      <c r="E550" s="6"/>
      <c r="F550" s="6"/>
      <c r="G550" s="8"/>
      <c r="K550" s="7"/>
      <c r="L550" s="6"/>
      <c r="M550" s="5"/>
    </row>
    <row r="551" spans="1:13" x14ac:dyDescent="0.55000000000000004">
      <c r="A551" s="6"/>
      <c r="B551" s="8"/>
      <c r="E551" s="6"/>
      <c r="F551" s="6"/>
      <c r="G551" s="8"/>
      <c r="K551" s="7"/>
      <c r="L551" s="6"/>
      <c r="M551" s="5"/>
    </row>
    <row r="552" spans="1:13" x14ac:dyDescent="0.55000000000000004">
      <c r="A552" s="6"/>
      <c r="B552" s="8"/>
      <c r="E552" s="6"/>
      <c r="F552" s="6"/>
      <c r="G552" s="8"/>
      <c r="K552" s="7"/>
      <c r="L552" s="6"/>
      <c r="M552" s="5"/>
    </row>
    <row r="553" spans="1:13" x14ac:dyDescent="0.55000000000000004">
      <c r="A553" s="6"/>
      <c r="B553" s="8"/>
      <c r="E553" s="6"/>
      <c r="F553" s="6"/>
      <c r="G553" s="8"/>
      <c r="K553" s="7"/>
      <c r="L553" s="6"/>
      <c r="M553" s="5"/>
    </row>
    <row r="554" spans="1:13" x14ac:dyDescent="0.55000000000000004">
      <c r="A554" s="6"/>
      <c r="B554" s="8"/>
      <c r="E554" s="6"/>
      <c r="F554" s="6"/>
      <c r="G554" s="8"/>
      <c r="K554" s="7"/>
      <c r="L554" s="6"/>
      <c r="M554" s="5"/>
    </row>
    <row r="555" spans="1:13" x14ac:dyDescent="0.55000000000000004">
      <c r="A555" s="6"/>
      <c r="B555" s="8"/>
      <c r="E555" s="6"/>
      <c r="F555" s="6"/>
      <c r="G555" s="8"/>
      <c r="K555" s="7"/>
      <c r="L555" s="6"/>
      <c r="M555" s="5"/>
    </row>
    <row r="556" spans="1:13" x14ac:dyDescent="0.55000000000000004">
      <c r="A556" s="6"/>
      <c r="B556" s="8"/>
      <c r="E556" s="6"/>
      <c r="F556" s="6"/>
      <c r="G556" s="8"/>
      <c r="K556" s="7"/>
      <c r="L556" s="6"/>
      <c r="M556" s="5"/>
    </row>
    <row r="557" spans="1:13" x14ac:dyDescent="0.55000000000000004">
      <c r="A557" s="6"/>
      <c r="B557" s="8"/>
      <c r="E557" s="6"/>
      <c r="F557" s="6"/>
      <c r="G557" s="8"/>
      <c r="K557" s="7"/>
      <c r="L557" s="6"/>
      <c r="M557" s="5"/>
    </row>
    <row r="558" spans="1:13" x14ac:dyDescent="0.55000000000000004">
      <c r="A558" s="6"/>
      <c r="B558" s="8"/>
      <c r="E558" s="6"/>
      <c r="F558" s="6"/>
      <c r="G558" s="8"/>
      <c r="K558" s="7"/>
      <c r="L558" s="6"/>
      <c r="M558" s="5"/>
    </row>
    <row r="559" spans="1:13" x14ac:dyDescent="0.55000000000000004">
      <c r="A559" s="6"/>
      <c r="B559" s="8"/>
      <c r="E559" s="6"/>
      <c r="F559" s="6"/>
      <c r="G559" s="8"/>
      <c r="K559" s="7"/>
      <c r="L559" s="6"/>
      <c r="M559" s="5"/>
    </row>
    <row r="560" spans="1:13" x14ac:dyDescent="0.55000000000000004">
      <c r="A560" s="6"/>
      <c r="B560" s="8"/>
      <c r="E560" s="6"/>
      <c r="F560" s="6"/>
      <c r="G560" s="8"/>
      <c r="K560" s="7"/>
      <c r="L560" s="6"/>
      <c r="M560" s="5"/>
    </row>
    <row r="561" spans="1:13" x14ac:dyDescent="0.55000000000000004">
      <c r="A561" s="6"/>
      <c r="B561" s="8"/>
      <c r="E561" s="6"/>
      <c r="F561" s="6"/>
      <c r="G561" s="8"/>
      <c r="K561" s="7"/>
      <c r="L561" s="6"/>
      <c r="M561" s="5"/>
    </row>
    <row r="562" spans="1:13" x14ac:dyDescent="0.55000000000000004">
      <c r="A562" s="6"/>
      <c r="B562" s="8"/>
      <c r="E562" s="6"/>
      <c r="F562" s="6"/>
      <c r="G562" s="8"/>
      <c r="K562" s="7"/>
      <c r="L562" s="6"/>
      <c r="M562" s="5"/>
    </row>
    <row r="563" spans="1:13" x14ac:dyDescent="0.55000000000000004">
      <c r="A563" s="6"/>
      <c r="B563" s="8"/>
      <c r="E563" s="6"/>
      <c r="F563" s="6"/>
      <c r="G563" s="8"/>
      <c r="K563" s="7"/>
      <c r="L563" s="6"/>
      <c r="M563" s="5"/>
    </row>
    <row r="564" spans="1:13" x14ac:dyDescent="0.55000000000000004">
      <c r="A564" s="6"/>
      <c r="B564" s="8"/>
      <c r="E564" s="6"/>
      <c r="F564" s="6"/>
      <c r="G564" s="8"/>
      <c r="K564" s="7"/>
      <c r="L564" s="6"/>
      <c r="M564" s="5"/>
    </row>
    <row r="565" spans="1:13" x14ac:dyDescent="0.55000000000000004">
      <c r="A565" s="6"/>
      <c r="B565" s="8"/>
      <c r="E565" s="6"/>
      <c r="F565" s="6"/>
      <c r="G565" s="8"/>
      <c r="K565" s="7"/>
      <c r="L565" s="6"/>
      <c r="M565" s="5"/>
    </row>
    <row r="566" spans="1:13" x14ac:dyDescent="0.55000000000000004">
      <c r="A566" s="6"/>
      <c r="B566" s="8"/>
      <c r="E566" s="6"/>
      <c r="F566" s="6"/>
      <c r="G566" s="8"/>
      <c r="K566" s="7"/>
      <c r="L566" s="6"/>
      <c r="M566" s="5"/>
    </row>
    <row r="567" spans="1:13" x14ac:dyDescent="0.55000000000000004">
      <c r="A567" s="6"/>
      <c r="B567" s="8"/>
      <c r="E567" s="6"/>
      <c r="F567" s="6"/>
      <c r="G567" s="8"/>
      <c r="K567" s="7"/>
      <c r="L567" s="6"/>
      <c r="M567" s="5"/>
    </row>
    <row r="568" spans="1:13" x14ac:dyDescent="0.55000000000000004">
      <c r="A568" s="6"/>
      <c r="B568" s="8"/>
      <c r="E568" s="6"/>
      <c r="F568" s="6"/>
      <c r="G568" s="8"/>
      <c r="K568" s="7"/>
      <c r="L568" s="6"/>
      <c r="M568" s="5"/>
    </row>
    <row r="569" spans="1:13" x14ac:dyDescent="0.55000000000000004">
      <c r="A569" s="6"/>
      <c r="B569" s="8"/>
      <c r="E569" s="6"/>
      <c r="F569" s="6"/>
      <c r="G569" s="8"/>
      <c r="K569" s="7"/>
      <c r="L569" s="6"/>
      <c r="M569" s="5"/>
    </row>
    <row r="570" spans="1:13" x14ac:dyDescent="0.55000000000000004">
      <c r="A570" s="6"/>
      <c r="B570" s="8"/>
      <c r="E570" s="6"/>
      <c r="F570" s="6"/>
      <c r="G570" s="8"/>
      <c r="K570" s="7"/>
      <c r="L570" s="6"/>
      <c r="M570" s="5"/>
    </row>
    <row r="571" spans="1:13" x14ac:dyDescent="0.55000000000000004">
      <c r="A571" s="6"/>
      <c r="B571" s="8"/>
      <c r="E571" s="6"/>
      <c r="F571" s="6"/>
      <c r="G571" s="8"/>
      <c r="K571" s="7"/>
      <c r="L571" s="6"/>
      <c r="M571" s="5"/>
    </row>
    <row r="572" spans="1:13" x14ac:dyDescent="0.55000000000000004">
      <c r="A572" s="6"/>
      <c r="B572" s="8"/>
      <c r="E572" s="6"/>
      <c r="F572" s="6"/>
      <c r="G572" s="8"/>
      <c r="K572" s="7"/>
      <c r="L572" s="6"/>
      <c r="M572" s="5"/>
    </row>
    <row r="573" spans="1:13" x14ac:dyDescent="0.55000000000000004">
      <c r="A573" s="6"/>
      <c r="B573" s="8"/>
      <c r="E573" s="6"/>
      <c r="F573" s="6"/>
      <c r="G573" s="8"/>
      <c r="K573" s="7"/>
      <c r="L573" s="6"/>
      <c r="M573" s="5"/>
    </row>
    <row r="574" spans="1:13" x14ac:dyDescent="0.55000000000000004">
      <c r="A574" s="6"/>
      <c r="B574" s="8"/>
      <c r="E574" s="6"/>
      <c r="F574" s="6"/>
      <c r="G574" s="8"/>
      <c r="K574" s="7"/>
      <c r="L574" s="6"/>
      <c r="M574" s="5"/>
    </row>
    <row r="575" spans="1:13" x14ac:dyDescent="0.55000000000000004">
      <c r="A575" s="6"/>
      <c r="B575" s="8"/>
      <c r="E575" s="6"/>
      <c r="F575" s="6"/>
      <c r="G575" s="8"/>
      <c r="K575" s="7"/>
      <c r="L575" s="6"/>
      <c r="M575" s="5"/>
    </row>
    <row r="576" spans="1:13" x14ac:dyDescent="0.55000000000000004">
      <c r="A576" s="6"/>
      <c r="B576" s="8"/>
      <c r="E576" s="6"/>
      <c r="F576" s="6"/>
      <c r="G576" s="8"/>
      <c r="K576" s="7"/>
      <c r="L576" s="6"/>
      <c r="M576" s="5"/>
    </row>
    <row r="577" spans="1:13" x14ac:dyDescent="0.55000000000000004">
      <c r="A577" s="6"/>
      <c r="B577" s="8"/>
      <c r="E577" s="6"/>
      <c r="F577" s="6"/>
      <c r="G577" s="8"/>
      <c r="K577" s="7"/>
      <c r="L577" s="6"/>
      <c r="M577" s="5"/>
    </row>
    <row r="578" spans="1:13" x14ac:dyDescent="0.55000000000000004">
      <c r="A578" s="6"/>
      <c r="B578" s="8"/>
      <c r="E578" s="6"/>
      <c r="F578" s="6"/>
      <c r="G578" s="8"/>
      <c r="K578" s="7"/>
      <c r="L578" s="6"/>
      <c r="M578" s="5"/>
    </row>
    <row r="579" spans="1:13" x14ac:dyDescent="0.55000000000000004">
      <c r="A579" s="6"/>
      <c r="B579" s="8"/>
      <c r="E579" s="6"/>
      <c r="F579" s="6"/>
      <c r="G579" s="8"/>
      <c r="K579" s="7"/>
      <c r="L579" s="6"/>
      <c r="M579" s="5"/>
    </row>
    <row r="580" spans="1:13" x14ac:dyDescent="0.55000000000000004">
      <c r="A580" s="6"/>
      <c r="B580" s="8"/>
      <c r="E580" s="6"/>
      <c r="F580" s="6"/>
      <c r="G580" s="8"/>
      <c r="K580" s="7"/>
      <c r="L580" s="6"/>
      <c r="M580" s="5"/>
    </row>
    <row r="581" spans="1:13" x14ac:dyDescent="0.55000000000000004">
      <c r="A581" s="6"/>
      <c r="B581" s="8"/>
      <c r="E581" s="6"/>
      <c r="F581" s="6"/>
      <c r="G581" s="8"/>
      <c r="K581" s="7"/>
      <c r="L581" s="6"/>
      <c r="M581" s="5"/>
    </row>
    <row r="582" spans="1:13" x14ac:dyDescent="0.55000000000000004">
      <c r="A582" s="6"/>
      <c r="B582" s="8"/>
      <c r="E582" s="6"/>
      <c r="F582" s="6"/>
      <c r="G582" s="8"/>
      <c r="K582" s="7"/>
      <c r="L582" s="6"/>
      <c r="M582" s="5"/>
    </row>
    <row r="583" spans="1:13" x14ac:dyDescent="0.55000000000000004">
      <c r="A583" s="6"/>
      <c r="B583" s="8"/>
      <c r="E583" s="6"/>
      <c r="F583" s="6"/>
      <c r="G583" s="8"/>
      <c r="K583" s="7"/>
      <c r="L583" s="6"/>
      <c r="M583" s="5"/>
    </row>
    <row r="584" spans="1:13" x14ac:dyDescent="0.55000000000000004">
      <c r="A584" s="6"/>
      <c r="B584" s="8"/>
      <c r="E584" s="6"/>
      <c r="F584" s="6"/>
      <c r="G584" s="8"/>
      <c r="K584" s="7"/>
      <c r="L584" s="6"/>
      <c r="M584" s="5"/>
    </row>
    <row r="585" spans="1:13" x14ac:dyDescent="0.55000000000000004">
      <c r="A585" s="6"/>
      <c r="B585" s="8"/>
      <c r="E585" s="6"/>
      <c r="F585" s="6"/>
      <c r="G585" s="8"/>
      <c r="K585" s="7"/>
      <c r="L585" s="6"/>
      <c r="M585" s="5"/>
    </row>
    <row r="586" spans="1:13" x14ac:dyDescent="0.55000000000000004">
      <c r="A586" s="6"/>
      <c r="B586" s="8"/>
      <c r="E586" s="6"/>
      <c r="F586" s="6"/>
      <c r="G586" s="8"/>
      <c r="K586" s="7"/>
      <c r="L586" s="6"/>
      <c r="M586" s="5"/>
    </row>
    <row r="587" spans="1:13" x14ac:dyDescent="0.55000000000000004">
      <c r="A587" s="6"/>
      <c r="B587" s="8"/>
      <c r="E587" s="6"/>
      <c r="F587" s="6"/>
      <c r="G587" s="8"/>
      <c r="K587" s="7"/>
      <c r="L587" s="6"/>
      <c r="M587" s="5"/>
    </row>
    <row r="588" spans="1:13" x14ac:dyDescent="0.55000000000000004">
      <c r="A588" s="6"/>
      <c r="B588" s="8"/>
      <c r="E588" s="6"/>
      <c r="F588" s="6"/>
      <c r="G588" s="8"/>
      <c r="K588" s="7"/>
      <c r="L588" s="6"/>
      <c r="M588" s="5"/>
    </row>
    <row r="589" spans="1:13" x14ac:dyDescent="0.55000000000000004">
      <c r="A589" s="6"/>
      <c r="B589" s="8"/>
      <c r="E589" s="6"/>
      <c r="F589" s="6"/>
      <c r="G589" s="8"/>
      <c r="K589" s="7"/>
      <c r="L589" s="6"/>
      <c r="M589" s="5"/>
    </row>
    <row r="590" spans="1:13" x14ac:dyDescent="0.55000000000000004">
      <c r="A590" s="6"/>
      <c r="B590" s="8"/>
      <c r="E590" s="6"/>
      <c r="F590" s="6"/>
      <c r="G590" s="8"/>
      <c r="K590" s="7"/>
      <c r="L590" s="6"/>
      <c r="M590" s="5"/>
    </row>
    <row r="591" spans="1:13" x14ac:dyDescent="0.55000000000000004">
      <c r="A591" s="6"/>
      <c r="B591" s="8"/>
      <c r="E591" s="6"/>
      <c r="F591" s="6"/>
      <c r="G591" s="8"/>
      <c r="K591" s="7"/>
      <c r="L591" s="6"/>
      <c r="M591" s="5"/>
    </row>
    <row r="592" spans="1:13" x14ac:dyDescent="0.55000000000000004">
      <c r="A592" s="6"/>
      <c r="B592" s="8"/>
      <c r="E592" s="6"/>
      <c r="F592" s="6"/>
      <c r="G592" s="8"/>
      <c r="K592" s="7"/>
      <c r="L592" s="6"/>
      <c r="M592" s="5"/>
    </row>
    <row r="593" spans="1:13" x14ac:dyDescent="0.55000000000000004">
      <c r="A593" s="6"/>
      <c r="B593" s="8"/>
      <c r="E593" s="6"/>
      <c r="F593" s="6"/>
      <c r="G593" s="8"/>
      <c r="K593" s="7"/>
      <c r="L593" s="6"/>
      <c r="M593" s="5"/>
    </row>
    <row r="594" spans="1:13" x14ac:dyDescent="0.55000000000000004">
      <c r="A594" s="6"/>
      <c r="B594" s="8"/>
      <c r="E594" s="6"/>
      <c r="F594" s="6"/>
      <c r="G594" s="8"/>
      <c r="K594" s="7"/>
      <c r="L594" s="6"/>
      <c r="M594" s="5"/>
    </row>
    <row r="595" spans="1:13" x14ac:dyDescent="0.55000000000000004">
      <c r="A595" s="6"/>
      <c r="B595" s="8"/>
      <c r="E595" s="6"/>
      <c r="F595" s="6"/>
      <c r="G595" s="8"/>
      <c r="K595" s="7"/>
      <c r="L595" s="6"/>
      <c r="M595" s="5"/>
    </row>
    <row r="596" spans="1:13" x14ac:dyDescent="0.55000000000000004">
      <c r="A596" s="6"/>
      <c r="B596" s="8"/>
      <c r="E596" s="6"/>
      <c r="F596" s="6"/>
      <c r="G596" s="8"/>
      <c r="K596" s="7"/>
      <c r="L596" s="6"/>
      <c r="M596" s="5"/>
    </row>
    <row r="597" spans="1:13" x14ac:dyDescent="0.55000000000000004">
      <c r="A597" s="6"/>
      <c r="B597" s="8"/>
      <c r="E597" s="6"/>
      <c r="F597" s="6"/>
      <c r="G597" s="8"/>
      <c r="K597" s="7"/>
      <c r="L597" s="6"/>
      <c r="M597" s="5"/>
    </row>
    <row r="598" spans="1:13" x14ac:dyDescent="0.55000000000000004">
      <c r="A598" s="6"/>
      <c r="B598" s="8"/>
      <c r="E598" s="6"/>
      <c r="F598" s="6"/>
      <c r="G598" s="8"/>
      <c r="K598" s="7"/>
      <c r="L598" s="6"/>
      <c r="M598" s="5"/>
    </row>
    <row r="599" spans="1:13" x14ac:dyDescent="0.55000000000000004">
      <c r="A599" s="6"/>
      <c r="B599" s="8"/>
      <c r="E599" s="6"/>
      <c r="F599" s="6"/>
      <c r="G599" s="8"/>
      <c r="K599" s="7"/>
      <c r="L599" s="6"/>
      <c r="M599" s="5"/>
    </row>
    <row r="600" spans="1:13" x14ac:dyDescent="0.55000000000000004">
      <c r="A600" s="6"/>
      <c r="B600" s="8"/>
      <c r="E600" s="6"/>
      <c r="F600" s="6"/>
      <c r="G600" s="8"/>
      <c r="K600" s="7"/>
      <c r="L600" s="6"/>
      <c r="M600" s="5"/>
    </row>
    <row r="601" spans="1:13" x14ac:dyDescent="0.55000000000000004">
      <c r="A601" s="6"/>
      <c r="B601" s="8"/>
      <c r="E601" s="6"/>
      <c r="F601" s="6"/>
      <c r="G601" s="8"/>
      <c r="K601" s="7"/>
      <c r="L601" s="6"/>
      <c r="M601" s="5"/>
    </row>
    <row r="602" spans="1:13" x14ac:dyDescent="0.55000000000000004">
      <c r="A602" s="6"/>
      <c r="B602" s="8"/>
      <c r="E602" s="6"/>
      <c r="F602" s="6"/>
      <c r="G602" s="8"/>
      <c r="K602" s="7"/>
      <c r="L602" s="6"/>
      <c r="M602" s="5"/>
    </row>
    <row r="603" spans="1:13" x14ac:dyDescent="0.55000000000000004">
      <c r="A603" s="6"/>
      <c r="B603" s="8"/>
      <c r="E603" s="6"/>
      <c r="F603" s="6"/>
      <c r="G603" s="8"/>
      <c r="K603" s="7"/>
      <c r="L603" s="6"/>
      <c r="M603" s="5"/>
    </row>
    <row r="604" spans="1:13" x14ac:dyDescent="0.55000000000000004">
      <c r="A604" s="6"/>
      <c r="B604" s="8"/>
      <c r="E604" s="6"/>
      <c r="F604" s="6"/>
      <c r="G604" s="8"/>
      <c r="K604" s="7"/>
      <c r="L604" s="6"/>
      <c r="M604" s="5"/>
    </row>
    <row r="605" spans="1:13" x14ac:dyDescent="0.55000000000000004">
      <c r="A605" s="6"/>
      <c r="B605" s="8"/>
      <c r="E605" s="6"/>
      <c r="F605" s="6"/>
      <c r="G605" s="8"/>
      <c r="K605" s="7"/>
      <c r="L605" s="6"/>
      <c r="M605" s="5"/>
    </row>
    <row r="606" spans="1:13" x14ac:dyDescent="0.55000000000000004">
      <c r="A606" s="6"/>
      <c r="B606" s="8"/>
      <c r="E606" s="6"/>
      <c r="F606" s="6"/>
      <c r="G606" s="8"/>
      <c r="K606" s="7"/>
      <c r="L606" s="6"/>
      <c r="M60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83F2-81A8-4761-84C0-1E2BC559F705}">
  <sheetPr>
    <tabColor theme="5"/>
  </sheetPr>
  <dimension ref="A1:V606"/>
  <sheetViews>
    <sheetView tabSelected="1" zoomScaleNormal="100" workbookViewId="0">
      <selection activeCell="E3" sqref="E3"/>
    </sheetView>
  </sheetViews>
  <sheetFormatPr defaultRowHeight="14.4" x14ac:dyDescent="0.55000000000000004"/>
  <cols>
    <col min="1" max="1" width="13" style="3" bestFit="1" customWidth="1"/>
    <col min="2" max="4" width="8.83984375" style="1"/>
    <col min="5" max="6" width="8.83984375" style="3"/>
    <col min="7" max="7" width="13.20703125" style="1" bestFit="1" customWidth="1"/>
    <col min="8" max="8" width="9.26171875" style="1" customWidth="1"/>
    <col min="9" max="9" width="8.83984375" style="2"/>
    <col min="10" max="10" width="18" style="2" bestFit="1" customWidth="1"/>
    <col min="11" max="11" width="17" style="4" bestFit="1" customWidth="1"/>
    <col min="12" max="12" width="9" style="3" customWidth="1"/>
    <col min="13" max="13" width="8.83984375" style="2"/>
    <col min="14" max="15" width="8.83984375" style="1"/>
    <col min="16" max="16" width="15" style="1" customWidth="1"/>
    <col min="17" max="17" width="8.83984375" style="1"/>
  </cols>
  <sheetData>
    <row r="1" spans="1:22" x14ac:dyDescent="0.55000000000000004">
      <c r="A1" s="3" t="s">
        <v>20</v>
      </c>
      <c r="B1" s="12" t="s">
        <v>19</v>
      </c>
      <c r="C1" s="12" t="s">
        <v>18</v>
      </c>
      <c r="D1" s="1" t="s">
        <v>17</v>
      </c>
      <c r="E1" s="3" t="s">
        <v>16</v>
      </c>
      <c r="F1" s="3" t="s">
        <v>15</v>
      </c>
      <c r="G1" s="14" t="s">
        <v>14</v>
      </c>
      <c r="H1" s="1" t="s">
        <v>13</v>
      </c>
      <c r="I1" s="2" t="s">
        <v>12</v>
      </c>
      <c r="J1" s="2" t="s">
        <v>11</v>
      </c>
      <c r="K1" s="4" t="s">
        <v>10</v>
      </c>
      <c r="L1" s="3" t="s">
        <v>9</v>
      </c>
      <c r="M1" s="2" t="s">
        <v>8</v>
      </c>
      <c r="N1" s="1" t="s">
        <v>7</v>
      </c>
      <c r="O1" s="1" t="s">
        <v>6</v>
      </c>
      <c r="P1" s="1" t="s">
        <v>5</v>
      </c>
      <c r="Q1" s="1" t="s">
        <v>4</v>
      </c>
    </row>
    <row r="2" spans="1:22" x14ac:dyDescent="0.55000000000000004">
      <c r="A2" s="6">
        <v>-8.9066666666666592</v>
      </c>
      <c r="B2" s="8"/>
      <c r="E2" s="6">
        <v>35.74</v>
      </c>
      <c r="F2" s="3">
        <v>41.006666666666597</v>
      </c>
      <c r="G2" s="15">
        <v>5.2962962962962772</v>
      </c>
      <c r="I2" s="5">
        <v>3.8940000000000001</v>
      </c>
      <c r="J2" s="5">
        <f>G2*4.186*(F2-E2)</f>
        <v>116.76356049382514</v>
      </c>
      <c r="K2" s="7"/>
      <c r="L2" s="6"/>
      <c r="M2" s="5">
        <f>J2/I2</f>
        <v>29.985506033339789</v>
      </c>
      <c r="S2" s="11"/>
    </row>
    <row r="3" spans="1:22" x14ac:dyDescent="0.55000000000000004">
      <c r="A3" s="6">
        <v>-3.93333333333333</v>
      </c>
      <c r="B3" s="8"/>
      <c r="E3" s="6">
        <v>34.9</v>
      </c>
      <c r="F3" s="3">
        <v>37.766666666666602</v>
      </c>
      <c r="G3" s="15">
        <v>6.8518518518518334</v>
      </c>
      <c r="I3" s="5">
        <v>3.8940000000000001</v>
      </c>
      <c r="J3" s="5">
        <f t="shared" ref="J3:J27" si="0">G3*4.186*(F3-E3)</f>
        <v>82.221308641973266</v>
      </c>
      <c r="K3" s="7"/>
      <c r="L3" s="6"/>
      <c r="M3" s="5">
        <f t="shared" ref="M3:M27" si="1">J3/I3</f>
        <v>21.114871248580705</v>
      </c>
      <c r="S3" s="10"/>
      <c r="T3" s="9"/>
      <c r="U3" s="9"/>
      <c r="V3" s="9"/>
    </row>
    <row r="4" spans="1:22" x14ac:dyDescent="0.55000000000000004">
      <c r="A4" s="6">
        <v>-2.2666666666666599</v>
      </c>
      <c r="B4" s="8"/>
      <c r="E4" s="6">
        <v>31.899999999999899</v>
      </c>
      <c r="F4" s="3">
        <v>34.8333333333333</v>
      </c>
      <c r="G4" s="15">
        <v>3.333333333333333</v>
      </c>
      <c r="I4" s="5">
        <v>3.8940000000000001</v>
      </c>
      <c r="J4" s="5">
        <f t="shared" si="0"/>
        <v>40.929777777778718</v>
      </c>
      <c r="K4" s="7"/>
      <c r="L4" s="6"/>
      <c r="M4" s="5">
        <f t="shared" si="1"/>
        <v>10.510985561833261</v>
      </c>
      <c r="S4" s="10"/>
      <c r="T4" s="9"/>
      <c r="U4" s="9"/>
      <c r="V4" s="9"/>
    </row>
    <row r="5" spans="1:22" x14ac:dyDescent="0.55000000000000004">
      <c r="A5" s="6">
        <v>1.06666666666666</v>
      </c>
      <c r="B5" s="8"/>
      <c r="E5" s="6">
        <v>48.893333333333302</v>
      </c>
      <c r="F5" s="3">
        <v>50.353333333333303</v>
      </c>
      <c r="G5" s="15">
        <v>6.7407407407407227</v>
      </c>
      <c r="I5" s="5">
        <v>3.8940000000000001</v>
      </c>
      <c r="J5" s="5">
        <f t="shared" si="0"/>
        <v>41.196441481481394</v>
      </c>
      <c r="K5" s="7"/>
      <c r="L5" s="6"/>
      <c r="M5" s="5">
        <f t="shared" si="1"/>
        <v>10.579466225341909</v>
      </c>
      <c r="S5" s="9"/>
      <c r="T5" s="9"/>
      <c r="U5" s="9"/>
      <c r="V5" s="9"/>
    </row>
    <row r="6" spans="1:22" x14ac:dyDescent="0.55000000000000004">
      <c r="A6" s="6">
        <v>0.33999999999999903</v>
      </c>
      <c r="B6" s="8"/>
      <c r="E6" s="6">
        <v>44.419999999999902</v>
      </c>
      <c r="F6" s="3">
        <v>46.8</v>
      </c>
      <c r="G6" s="15">
        <v>7.5</v>
      </c>
      <c r="I6" s="5">
        <v>3.8940000000000001</v>
      </c>
      <c r="J6" s="5">
        <f t="shared" si="0"/>
        <v>74.720100000002972</v>
      </c>
      <c r="K6" s="7"/>
      <c r="L6" s="6"/>
      <c r="M6" s="5">
        <f t="shared" si="1"/>
        <v>19.188520801233427</v>
      </c>
      <c r="S6" s="10"/>
      <c r="T6" s="10"/>
      <c r="U6" s="10"/>
      <c r="V6" s="9"/>
    </row>
    <row r="7" spans="1:22" x14ac:dyDescent="0.55000000000000004">
      <c r="A7" s="6">
        <v>3.2333333333333298</v>
      </c>
      <c r="B7" s="8"/>
      <c r="E7" s="6">
        <v>52.066666666666599</v>
      </c>
      <c r="F7" s="3">
        <v>54.94</v>
      </c>
      <c r="G7" s="15">
        <v>4.4629629629629441</v>
      </c>
      <c r="I7" s="5">
        <v>3.8940000000000001</v>
      </c>
      <c r="J7" s="5">
        <f t="shared" si="0"/>
        <v>53.679506913581243</v>
      </c>
      <c r="K7" s="7"/>
      <c r="L7" s="6"/>
      <c r="M7" s="5">
        <f t="shared" si="1"/>
        <v>13.785184107237093</v>
      </c>
      <c r="S7" s="10"/>
      <c r="T7" s="10"/>
      <c r="U7" s="10"/>
      <c r="V7" s="9"/>
    </row>
    <row r="8" spans="1:22" x14ac:dyDescent="0.55000000000000004">
      <c r="A8" s="6">
        <v>-2.5466666666666602</v>
      </c>
      <c r="B8" s="8"/>
      <c r="E8" s="6">
        <v>34.419999999999902</v>
      </c>
      <c r="F8" s="3">
        <v>37.619999999999997</v>
      </c>
      <c r="G8" s="15">
        <v>7.3703703703703605</v>
      </c>
      <c r="I8" s="5">
        <v>3.8940000000000001</v>
      </c>
      <c r="J8" s="5">
        <f t="shared" si="0"/>
        <v>98.727585185187991</v>
      </c>
      <c r="K8" s="7"/>
      <c r="L8" s="6"/>
      <c r="M8" s="5">
        <f t="shared" si="1"/>
        <v>25.353771233997943</v>
      </c>
      <c r="S8" s="10"/>
      <c r="T8" s="10"/>
      <c r="U8" s="10"/>
      <c r="V8" s="9"/>
    </row>
    <row r="9" spans="1:22" x14ac:dyDescent="0.55000000000000004">
      <c r="A9" s="6">
        <v>1.0333333333333301</v>
      </c>
      <c r="B9" s="8"/>
      <c r="E9" s="6">
        <v>50.886666666666599</v>
      </c>
      <c r="F9" s="3">
        <v>51.433333333333302</v>
      </c>
      <c r="G9" s="15">
        <v>7.7777777777777777</v>
      </c>
      <c r="I9" s="5">
        <v>3.8940000000000001</v>
      </c>
      <c r="J9" s="5">
        <f t="shared" si="0"/>
        <v>17.798251851853017</v>
      </c>
      <c r="K9" s="7"/>
      <c r="L9" s="6"/>
      <c r="M9" s="5">
        <f t="shared" si="1"/>
        <v>4.570686145827688</v>
      </c>
      <c r="S9" s="10"/>
      <c r="T9" s="9"/>
      <c r="U9" s="9"/>
      <c r="V9" s="9"/>
    </row>
    <row r="10" spans="1:22" x14ac:dyDescent="0.55000000000000004">
      <c r="A10" s="6">
        <v>13.486666666666601</v>
      </c>
      <c r="B10" s="8"/>
      <c r="E10" s="6">
        <v>26.553333333333299</v>
      </c>
      <c r="F10" s="3">
        <v>35.58</v>
      </c>
      <c r="G10" s="15">
        <v>0.81481481481481388</v>
      </c>
      <c r="I10" s="5">
        <v>3.8959333333333301</v>
      </c>
      <c r="J10" s="5">
        <f t="shared" si="0"/>
        <v>30.788288395061805</v>
      </c>
      <c r="K10" s="7"/>
      <c r="L10" s="6"/>
      <c r="M10" s="5">
        <f t="shared" si="1"/>
        <v>7.9026733162088236</v>
      </c>
    </row>
    <row r="11" spans="1:22" x14ac:dyDescent="0.55000000000000004">
      <c r="A11" s="6">
        <v>3.95333333333333</v>
      </c>
      <c r="B11" s="8"/>
      <c r="E11" s="6">
        <v>44.899999999999899</v>
      </c>
      <c r="F11" s="3">
        <v>50.393333333333302</v>
      </c>
      <c r="G11" s="15">
        <v>6.1666666666666661</v>
      </c>
      <c r="I11" s="5">
        <v>3.923</v>
      </c>
      <c r="J11" s="5">
        <f t="shared" si="0"/>
        <v>141.80307555555734</v>
      </c>
      <c r="K11" s="7"/>
      <c r="L11" s="6"/>
      <c r="M11" s="5">
        <f t="shared" si="1"/>
        <v>36.146590761039342</v>
      </c>
    </row>
    <row r="12" spans="1:22" x14ac:dyDescent="0.55000000000000004">
      <c r="A12" s="6">
        <v>8.0666666666666593</v>
      </c>
      <c r="B12" s="8"/>
      <c r="E12" s="6">
        <v>34.113333333333301</v>
      </c>
      <c r="F12" s="3">
        <v>34.506666666666597</v>
      </c>
      <c r="G12" s="15">
        <v>5.6111111111111107</v>
      </c>
      <c r="I12" s="5">
        <v>3.923</v>
      </c>
      <c r="J12" s="5">
        <f t="shared" si="0"/>
        <v>9.2386570370361447</v>
      </c>
      <c r="K12" s="7"/>
      <c r="L12" s="6"/>
      <c r="M12" s="5">
        <f t="shared" si="1"/>
        <v>2.3549979701850994</v>
      </c>
      <c r="S12" t="s">
        <v>40</v>
      </c>
      <c r="T12">
        <v>28</v>
      </c>
    </row>
    <row r="13" spans="1:22" x14ac:dyDescent="0.55000000000000004">
      <c r="A13" s="6">
        <v>-0.133333333333333</v>
      </c>
      <c r="B13" s="8"/>
      <c r="E13" s="6">
        <v>51.766666666666602</v>
      </c>
      <c r="F13" s="3">
        <v>52.953333333333298</v>
      </c>
      <c r="G13" s="15">
        <v>8.1851851851851674</v>
      </c>
      <c r="I13" s="5">
        <v>3.923</v>
      </c>
      <c r="J13" s="5">
        <f t="shared" si="0"/>
        <v>40.65897975308733</v>
      </c>
      <c r="K13" s="7"/>
      <c r="L13" s="6"/>
      <c r="M13" s="5">
        <f t="shared" si="1"/>
        <v>10.364256883274873</v>
      </c>
      <c r="S13" t="s">
        <v>41</v>
      </c>
      <c r="T13">
        <f>(T12*10^-3)^2/4*3.14</f>
        <v>6.1544000000000008E-4</v>
      </c>
    </row>
    <row r="14" spans="1:22" x14ac:dyDescent="0.55000000000000004">
      <c r="A14" s="6">
        <v>2.9599999999999902</v>
      </c>
      <c r="B14" s="8"/>
      <c r="E14" s="6">
        <v>34.133333333333297</v>
      </c>
      <c r="F14" s="3">
        <v>36.106666666666598</v>
      </c>
      <c r="G14" s="15">
        <v>4.8518518518518334</v>
      </c>
      <c r="I14" s="5">
        <v>3.923</v>
      </c>
      <c r="J14" s="5">
        <f t="shared" si="0"/>
        <v>40.078107654320171</v>
      </c>
      <c r="K14" s="7"/>
      <c r="L14" s="6"/>
      <c r="M14" s="5">
        <f t="shared" si="1"/>
        <v>10.216188543033436</v>
      </c>
      <c r="S14" t="s">
        <v>42</v>
      </c>
      <c r="T14">
        <f>19/(3600*T13)</f>
        <v>8.5756170833513856</v>
      </c>
    </row>
    <row r="15" spans="1:22" x14ac:dyDescent="0.55000000000000004">
      <c r="A15" s="6">
        <v>2.72</v>
      </c>
      <c r="B15" s="8"/>
      <c r="E15" s="6">
        <v>50.786666666666598</v>
      </c>
      <c r="F15" s="3">
        <v>52.373333333333299</v>
      </c>
      <c r="G15" s="15">
        <v>6.0185185185184995</v>
      </c>
      <c r="I15" s="5">
        <v>3.923</v>
      </c>
      <c r="J15" s="5">
        <f t="shared" si="0"/>
        <v>39.973716049383469</v>
      </c>
      <c r="K15" s="7"/>
      <c r="L15" s="6"/>
      <c r="M15" s="5">
        <f t="shared" si="1"/>
        <v>10.189578396478071</v>
      </c>
    </row>
    <row r="16" spans="1:22" x14ac:dyDescent="0.55000000000000004">
      <c r="A16" s="6">
        <v>18.1933333333333</v>
      </c>
      <c r="B16" s="8"/>
      <c r="E16" s="6">
        <v>35.700000000000003</v>
      </c>
      <c r="F16" s="3">
        <v>34.619999999999997</v>
      </c>
      <c r="G16" s="15">
        <v>5.5740740740740549</v>
      </c>
      <c r="I16" s="5">
        <v>3.923</v>
      </c>
      <c r="J16" s="5">
        <f t="shared" si="0"/>
        <v>-25.199720000000042</v>
      </c>
      <c r="K16" s="7"/>
      <c r="L16" s="6"/>
      <c r="M16" s="5">
        <f t="shared" si="1"/>
        <v>-6.423583991842988</v>
      </c>
    </row>
    <row r="17" spans="1:13" x14ac:dyDescent="0.55000000000000004">
      <c r="A17" s="6">
        <v>4.2933333333333303</v>
      </c>
      <c r="B17" s="8"/>
      <c r="E17" s="6">
        <v>45.186666666666603</v>
      </c>
      <c r="F17" s="3">
        <v>47.18</v>
      </c>
      <c r="G17" s="15">
        <v>5.2962962962962772</v>
      </c>
      <c r="I17" s="5">
        <v>3.923</v>
      </c>
      <c r="J17" s="5">
        <f t="shared" si="0"/>
        <v>44.192790617285183</v>
      </c>
      <c r="K17" s="7"/>
      <c r="L17" s="6"/>
      <c r="M17" s="5">
        <f t="shared" si="1"/>
        <v>11.265049864207286</v>
      </c>
    </row>
    <row r="18" spans="1:13" x14ac:dyDescent="0.55000000000000004">
      <c r="A18" s="6">
        <v>10.1533333333333</v>
      </c>
      <c r="B18" s="8"/>
      <c r="E18" s="6">
        <v>30.293333333333301</v>
      </c>
      <c r="F18" s="3">
        <v>36.1666666666666</v>
      </c>
      <c r="G18" s="15">
        <v>0</v>
      </c>
      <c r="I18" s="5">
        <v>3.9244666666666599</v>
      </c>
      <c r="J18" s="5">
        <f t="shared" si="0"/>
        <v>0</v>
      </c>
      <c r="K18" s="7"/>
      <c r="L18" s="6"/>
      <c r="M18" s="5">
        <f t="shared" si="1"/>
        <v>0</v>
      </c>
    </row>
    <row r="19" spans="1:13" x14ac:dyDescent="0.55000000000000004">
      <c r="A19" s="6">
        <v>0.39333333333333298</v>
      </c>
      <c r="B19" s="8"/>
      <c r="E19" s="6">
        <v>38.139999999999901</v>
      </c>
      <c r="F19" s="3">
        <v>37.5133333333333</v>
      </c>
      <c r="G19" s="15">
        <v>7.4074074074073888</v>
      </c>
      <c r="I19" s="5">
        <v>3.9449999999999998</v>
      </c>
      <c r="J19" s="5">
        <f t="shared" si="0"/>
        <v>-19.431308641973228</v>
      </c>
      <c r="K19" s="7"/>
      <c r="L19" s="6"/>
      <c r="M19" s="5">
        <f t="shared" si="1"/>
        <v>-4.9255535214127324</v>
      </c>
    </row>
    <row r="20" spans="1:13" x14ac:dyDescent="0.55000000000000004">
      <c r="A20" s="6">
        <v>0.22666666666666599</v>
      </c>
      <c r="B20" s="8"/>
      <c r="E20" s="6">
        <v>50.6533333333333</v>
      </c>
      <c r="F20" s="3">
        <v>52.299999999999898</v>
      </c>
      <c r="G20" s="15">
        <v>8.3333333333333339</v>
      </c>
      <c r="I20" s="5">
        <v>3.9449999999999998</v>
      </c>
      <c r="J20" s="5">
        <f t="shared" si="0"/>
        <v>57.4412222222198</v>
      </c>
      <c r="K20" s="7"/>
      <c r="L20" s="6"/>
      <c r="M20" s="5">
        <f t="shared" si="1"/>
        <v>14.560512603857998</v>
      </c>
    </row>
    <row r="21" spans="1:13" x14ac:dyDescent="0.55000000000000004">
      <c r="A21" s="6">
        <v>4.4066666666666601</v>
      </c>
      <c r="B21" s="8"/>
      <c r="E21" s="6">
        <v>42.106666666666598</v>
      </c>
      <c r="F21" s="3">
        <v>45.793333333333301</v>
      </c>
      <c r="G21" s="15">
        <v>5.3518518518518334</v>
      </c>
      <c r="I21" s="5">
        <v>3.9449999999999998</v>
      </c>
      <c r="J21" s="5">
        <f t="shared" si="0"/>
        <v>82.591847160494353</v>
      </c>
      <c r="K21" s="7"/>
      <c r="L21" s="6"/>
      <c r="M21" s="5">
        <f t="shared" si="1"/>
        <v>20.935829444992233</v>
      </c>
    </row>
    <row r="22" spans="1:13" x14ac:dyDescent="0.55000000000000004">
      <c r="A22" s="6">
        <v>0.219999999999999</v>
      </c>
      <c r="B22" s="8"/>
      <c r="E22" s="6">
        <v>34.479999999999997</v>
      </c>
      <c r="F22" s="3">
        <v>37.813333333333297</v>
      </c>
      <c r="G22" s="15">
        <v>5.2777777777777777</v>
      </c>
      <c r="I22" s="5">
        <v>3.9449999999999998</v>
      </c>
      <c r="J22" s="5">
        <f t="shared" si="0"/>
        <v>73.642592592591853</v>
      </c>
      <c r="K22" s="7"/>
      <c r="L22" s="6"/>
      <c r="M22" s="5">
        <f t="shared" si="1"/>
        <v>18.667323851100598</v>
      </c>
    </row>
    <row r="23" spans="1:13" x14ac:dyDescent="0.55000000000000004">
      <c r="A23" s="6">
        <v>22.873333333333299</v>
      </c>
      <c r="B23" s="8"/>
      <c r="E23" s="6">
        <v>49.74</v>
      </c>
      <c r="F23" s="3">
        <v>50.32</v>
      </c>
      <c r="G23" s="15">
        <v>5.962962962962945</v>
      </c>
      <c r="I23" s="5">
        <v>3.9449999999999998</v>
      </c>
      <c r="J23" s="5">
        <f t="shared" si="0"/>
        <v>14.477358518518432</v>
      </c>
      <c r="K23" s="7"/>
      <c r="L23" s="6"/>
      <c r="M23" s="5">
        <f t="shared" si="1"/>
        <v>3.6697993709805914</v>
      </c>
    </row>
    <row r="24" spans="1:13" x14ac:dyDescent="0.55000000000000004">
      <c r="A24" s="6">
        <v>2.2599999999999998</v>
      </c>
      <c r="B24" s="8"/>
      <c r="E24" s="6">
        <v>40.6</v>
      </c>
      <c r="F24" s="3">
        <v>43.606666666666598</v>
      </c>
      <c r="G24" s="15">
        <v>6.6666666666666661</v>
      </c>
      <c r="I24" s="5">
        <v>3.9449999999999998</v>
      </c>
      <c r="J24" s="5">
        <f t="shared" si="0"/>
        <v>83.906044444442472</v>
      </c>
      <c r="K24" s="7"/>
      <c r="L24" s="6"/>
      <c r="M24" s="5">
        <f t="shared" si="1"/>
        <v>21.268959301506332</v>
      </c>
    </row>
    <row r="25" spans="1:13" x14ac:dyDescent="0.55000000000000004">
      <c r="A25" s="6">
        <v>2.36</v>
      </c>
      <c r="B25" s="8"/>
      <c r="E25" s="6">
        <v>51.1533333333333</v>
      </c>
      <c r="F25" s="3">
        <v>52.786666666666598</v>
      </c>
      <c r="G25" s="15">
        <v>8.3333333333333339</v>
      </c>
      <c r="I25" s="5">
        <v>3.9449999999999998</v>
      </c>
      <c r="J25" s="5">
        <f t="shared" si="0"/>
        <v>56.976111111109851</v>
      </c>
      <c r="K25" s="7"/>
      <c r="L25" s="6"/>
      <c r="M25" s="5">
        <f t="shared" si="1"/>
        <v>14.442613716377656</v>
      </c>
    </row>
    <row r="26" spans="1:13" x14ac:dyDescent="0.55000000000000004">
      <c r="A26" s="6">
        <v>2.6333333333333302</v>
      </c>
      <c r="B26" s="8"/>
      <c r="E26" s="6">
        <v>42.466666666666598</v>
      </c>
      <c r="F26" s="3">
        <v>44.946666666666601</v>
      </c>
      <c r="G26" s="15">
        <v>7.333333333333333</v>
      </c>
      <c r="I26" s="5">
        <v>3.9660000000000002</v>
      </c>
      <c r="J26" s="5">
        <f t="shared" si="0"/>
        <v>76.12938666666679</v>
      </c>
      <c r="K26" s="7"/>
      <c r="L26" s="6"/>
      <c r="M26" s="5">
        <f t="shared" si="1"/>
        <v>19.19550848882168</v>
      </c>
    </row>
    <row r="27" spans="1:13" x14ac:dyDescent="0.55000000000000004">
      <c r="A27" s="6">
        <v>2.37333333333333</v>
      </c>
      <c r="B27" s="8"/>
      <c r="E27" s="6">
        <v>50.486666666666601</v>
      </c>
      <c r="F27" s="3">
        <v>52.266666666666602</v>
      </c>
      <c r="G27" s="15">
        <v>7.6481481481481381</v>
      </c>
      <c r="I27" s="5">
        <v>3.9660000000000002</v>
      </c>
      <c r="J27" s="5">
        <f t="shared" si="0"/>
        <v>56.986963703703665</v>
      </c>
      <c r="K27" s="7"/>
      <c r="L27" s="6"/>
      <c r="M27" s="5">
        <f t="shared" si="1"/>
        <v>14.368876375114388</v>
      </c>
    </row>
    <row r="28" spans="1:13" x14ac:dyDescent="0.55000000000000004">
      <c r="A28" s="6"/>
      <c r="B28" s="8"/>
      <c r="E28" s="6"/>
      <c r="F28" s="6"/>
      <c r="G28" s="8"/>
      <c r="J28" s="5"/>
      <c r="K28" s="7"/>
      <c r="L28" s="6"/>
      <c r="M28" s="5"/>
    </row>
    <row r="29" spans="1:13" x14ac:dyDescent="0.55000000000000004">
      <c r="A29" s="6"/>
      <c r="B29" s="8"/>
      <c r="E29" s="6"/>
      <c r="F29" s="6"/>
      <c r="G29" s="8"/>
      <c r="J29" s="5"/>
      <c r="K29" s="7"/>
      <c r="L29" s="6"/>
      <c r="M29" s="5"/>
    </row>
    <row r="30" spans="1:13" x14ac:dyDescent="0.55000000000000004">
      <c r="A30" s="6"/>
      <c r="B30" s="8"/>
      <c r="E30" s="6"/>
      <c r="F30" s="6"/>
      <c r="G30" s="8"/>
      <c r="J30" s="5"/>
      <c r="K30" s="7"/>
      <c r="L30" s="6"/>
      <c r="M30" s="5"/>
    </row>
    <row r="31" spans="1:13" x14ac:dyDescent="0.55000000000000004">
      <c r="A31" s="6"/>
      <c r="B31" s="8"/>
      <c r="E31" s="6"/>
      <c r="F31" s="6"/>
      <c r="G31" s="8"/>
      <c r="J31" s="5"/>
      <c r="K31" s="7"/>
      <c r="L31" s="6"/>
      <c r="M31" s="5"/>
    </row>
    <row r="32" spans="1:13" x14ac:dyDescent="0.55000000000000004">
      <c r="A32" s="6"/>
      <c r="B32" s="8"/>
      <c r="E32" s="6"/>
      <c r="F32" s="6"/>
      <c r="G32" s="8"/>
      <c r="J32" s="5"/>
      <c r="K32" s="7"/>
      <c r="L32" s="6"/>
      <c r="M32" s="5"/>
    </row>
    <row r="33" spans="1:13" x14ac:dyDescent="0.55000000000000004">
      <c r="A33" s="6"/>
      <c r="B33" s="8"/>
      <c r="E33" s="6"/>
      <c r="F33" s="6"/>
      <c r="G33" s="8"/>
      <c r="J33" s="5"/>
      <c r="K33" s="7"/>
      <c r="L33" s="6"/>
      <c r="M33" s="5"/>
    </row>
    <row r="34" spans="1:13" x14ac:dyDescent="0.55000000000000004">
      <c r="A34" s="6"/>
      <c r="B34" s="8"/>
      <c r="E34" s="6"/>
      <c r="F34" s="6"/>
      <c r="G34" s="8"/>
      <c r="J34" s="5"/>
      <c r="K34" s="7"/>
      <c r="L34" s="6"/>
      <c r="M34" s="5"/>
    </row>
    <row r="35" spans="1:13" x14ac:dyDescent="0.55000000000000004">
      <c r="A35" s="6"/>
      <c r="B35" s="8"/>
      <c r="E35" s="6"/>
      <c r="F35" s="6"/>
      <c r="G35" s="8"/>
      <c r="J35" s="5"/>
      <c r="K35" s="7"/>
      <c r="L35" s="6"/>
      <c r="M35" s="5"/>
    </row>
    <row r="36" spans="1:13" x14ac:dyDescent="0.55000000000000004">
      <c r="A36" s="6"/>
      <c r="B36" s="8"/>
      <c r="E36" s="6"/>
      <c r="F36" s="6"/>
      <c r="G36" s="8"/>
      <c r="J36" s="5"/>
      <c r="K36" s="7"/>
      <c r="L36" s="6"/>
      <c r="M36" s="5"/>
    </row>
    <row r="37" spans="1:13" x14ac:dyDescent="0.55000000000000004">
      <c r="A37" s="6"/>
      <c r="B37" s="8"/>
      <c r="E37" s="6"/>
      <c r="F37" s="6"/>
      <c r="G37" s="8"/>
      <c r="J37" s="5"/>
      <c r="K37" s="7"/>
      <c r="L37" s="6"/>
      <c r="M37" s="5"/>
    </row>
    <row r="38" spans="1:13" x14ac:dyDescent="0.55000000000000004">
      <c r="A38" s="6"/>
      <c r="B38" s="8"/>
      <c r="E38" s="6"/>
      <c r="F38" s="6"/>
      <c r="G38" s="8"/>
      <c r="J38" s="5"/>
      <c r="K38" s="7"/>
      <c r="L38" s="6"/>
      <c r="M38" s="5"/>
    </row>
    <row r="39" spans="1:13" x14ac:dyDescent="0.55000000000000004">
      <c r="A39" s="6"/>
      <c r="B39" s="8"/>
      <c r="E39" s="6"/>
      <c r="F39" s="6"/>
      <c r="G39" s="8"/>
      <c r="J39" s="5"/>
      <c r="K39" s="7"/>
      <c r="L39" s="6"/>
      <c r="M39" s="5"/>
    </row>
    <row r="40" spans="1:13" x14ac:dyDescent="0.55000000000000004">
      <c r="A40" s="6"/>
      <c r="B40" s="8"/>
      <c r="E40" s="6"/>
      <c r="F40" s="6"/>
      <c r="G40" s="8"/>
      <c r="J40" s="5"/>
      <c r="K40" s="7"/>
      <c r="L40" s="6"/>
      <c r="M40" s="5"/>
    </row>
    <row r="41" spans="1:13" x14ac:dyDescent="0.55000000000000004">
      <c r="A41" s="6"/>
      <c r="B41" s="8"/>
      <c r="E41" s="6"/>
      <c r="F41" s="6"/>
      <c r="G41" s="8"/>
      <c r="J41" s="5"/>
      <c r="K41" s="7"/>
      <c r="L41" s="6"/>
      <c r="M41" s="5"/>
    </row>
    <row r="42" spans="1:13" x14ac:dyDescent="0.55000000000000004">
      <c r="A42" s="6"/>
      <c r="B42" s="8"/>
      <c r="E42" s="6"/>
      <c r="F42" s="6"/>
      <c r="G42" s="8"/>
      <c r="J42" s="5"/>
      <c r="K42" s="7"/>
      <c r="L42" s="6"/>
      <c r="M42" s="5"/>
    </row>
    <row r="43" spans="1:13" x14ac:dyDescent="0.55000000000000004">
      <c r="A43" s="6"/>
      <c r="B43" s="8"/>
      <c r="E43" s="6"/>
      <c r="F43" s="6"/>
      <c r="G43" s="8"/>
      <c r="J43" s="5"/>
      <c r="K43" s="7"/>
      <c r="L43" s="6"/>
      <c r="M43" s="5"/>
    </row>
    <row r="44" spans="1:13" x14ac:dyDescent="0.55000000000000004">
      <c r="A44" s="6"/>
      <c r="B44" s="8"/>
      <c r="E44" s="6"/>
      <c r="F44" s="6"/>
      <c r="G44" s="8"/>
      <c r="J44" s="5"/>
      <c r="K44" s="7"/>
      <c r="L44" s="6"/>
      <c r="M44" s="5"/>
    </row>
    <row r="45" spans="1:13" x14ac:dyDescent="0.55000000000000004">
      <c r="A45" s="6"/>
      <c r="B45" s="8"/>
      <c r="E45" s="6"/>
      <c r="F45" s="6"/>
      <c r="G45" s="8"/>
      <c r="J45" s="5"/>
      <c r="K45" s="7"/>
      <c r="L45" s="6"/>
      <c r="M45" s="5"/>
    </row>
    <row r="46" spans="1:13" x14ac:dyDescent="0.55000000000000004">
      <c r="A46" s="6"/>
      <c r="B46" s="8"/>
      <c r="E46" s="6"/>
      <c r="F46" s="6"/>
      <c r="G46" s="8"/>
      <c r="J46" s="5"/>
      <c r="K46" s="7"/>
      <c r="L46" s="6"/>
      <c r="M46" s="5"/>
    </row>
    <row r="47" spans="1:13" x14ac:dyDescent="0.55000000000000004">
      <c r="A47" s="6"/>
      <c r="B47" s="8"/>
      <c r="E47" s="6"/>
      <c r="F47" s="6"/>
      <c r="G47" s="8"/>
      <c r="J47" s="5"/>
      <c r="K47" s="7"/>
      <c r="L47" s="6"/>
      <c r="M47" s="5"/>
    </row>
    <row r="48" spans="1:13" x14ac:dyDescent="0.55000000000000004">
      <c r="A48" s="6"/>
      <c r="B48" s="8"/>
      <c r="E48" s="6"/>
      <c r="F48" s="6"/>
      <c r="G48" s="8"/>
      <c r="J48" s="5"/>
      <c r="K48" s="7"/>
      <c r="L48" s="6"/>
      <c r="M48" s="5"/>
    </row>
    <row r="49" spans="1:13" x14ac:dyDescent="0.55000000000000004">
      <c r="A49" s="6"/>
      <c r="B49" s="8"/>
      <c r="E49" s="6"/>
      <c r="F49" s="6"/>
      <c r="G49" s="8"/>
      <c r="J49" s="5"/>
      <c r="K49" s="7"/>
      <c r="L49" s="6"/>
      <c r="M49" s="5"/>
    </row>
    <row r="50" spans="1:13" x14ac:dyDescent="0.55000000000000004">
      <c r="A50" s="6"/>
      <c r="B50" s="8"/>
      <c r="E50" s="6"/>
      <c r="F50" s="6"/>
      <c r="G50" s="8"/>
      <c r="J50" s="5"/>
      <c r="K50" s="7"/>
      <c r="L50" s="6"/>
      <c r="M50" s="5"/>
    </row>
    <row r="51" spans="1:13" x14ac:dyDescent="0.55000000000000004">
      <c r="A51" s="6"/>
      <c r="B51" s="8"/>
      <c r="E51" s="6"/>
      <c r="F51" s="6"/>
      <c r="G51" s="8"/>
      <c r="J51" s="5"/>
      <c r="K51" s="7"/>
      <c r="L51" s="6"/>
      <c r="M51" s="5"/>
    </row>
    <row r="52" spans="1:13" x14ac:dyDescent="0.55000000000000004">
      <c r="A52" s="6"/>
      <c r="B52" s="8"/>
      <c r="E52" s="6"/>
      <c r="F52" s="6"/>
      <c r="G52" s="8"/>
      <c r="J52" s="5"/>
      <c r="K52" s="7"/>
      <c r="L52" s="6"/>
      <c r="M52" s="5"/>
    </row>
    <row r="53" spans="1:13" x14ac:dyDescent="0.55000000000000004">
      <c r="A53" s="6"/>
      <c r="B53" s="8"/>
      <c r="E53" s="6"/>
      <c r="F53" s="6"/>
      <c r="G53" s="8"/>
      <c r="J53" s="5"/>
      <c r="K53" s="7"/>
      <c r="L53" s="6"/>
      <c r="M53" s="5"/>
    </row>
    <row r="54" spans="1:13" x14ac:dyDescent="0.55000000000000004">
      <c r="A54" s="6"/>
      <c r="B54" s="8"/>
      <c r="E54" s="6"/>
      <c r="F54" s="6"/>
      <c r="G54" s="8"/>
      <c r="J54" s="5"/>
      <c r="K54" s="7"/>
      <c r="L54" s="6"/>
      <c r="M54" s="5"/>
    </row>
    <row r="55" spans="1:13" x14ac:dyDescent="0.55000000000000004">
      <c r="A55" s="6"/>
      <c r="B55" s="8"/>
      <c r="E55" s="6"/>
      <c r="F55" s="6"/>
      <c r="G55" s="8"/>
      <c r="J55" s="5"/>
      <c r="K55" s="7"/>
      <c r="L55" s="6"/>
      <c r="M55" s="5"/>
    </row>
    <row r="56" spans="1:13" x14ac:dyDescent="0.55000000000000004">
      <c r="A56" s="6"/>
      <c r="B56" s="8"/>
      <c r="E56" s="6"/>
      <c r="F56" s="6"/>
      <c r="G56" s="8"/>
      <c r="J56" s="5"/>
      <c r="K56" s="7"/>
      <c r="L56" s="6"/>
      <c r="M56" s="5"/>
    </row>
    <row r="57" spans="1:13" x14ac:dyDescent="0.55000000000000004">
      <c r="A57" s="6"/>
      <c r="B57" s="8"/>
      <c r="E57" s="6"/>
      <c r="F57" s="6"/>
      <c r="G57" s="8"/>
      <c r="J57" s="5"/>
      <c r="K57" s="7"/>
      <c r="L57" s="6"/>
      <c r="M57" s="5"/>
    </row>
    <row r="58" spans="1:13" x14ac:dyDescent="0.55000000000000004">
      <c r="A58" s="6"/>
      <c r="B58" s="8"/>
      <c r="E58" s="6"/>
      <c r="F58" s="6"/>
      <c r="G58" s="8"/>
      <c r="J58" s="5"/>
      <c r="K58" s="7"/>
      <c r="L58" s="6"/>
      <c r="M58" s="5"/>
    </row>
    <row r="59" spans="1:13" x14ac:dyDescent="0.55000000000000004">
      <c r="A59" s="6"/>
      <c r="B59" s="8"/>
      <c r="E59" s="6"/>
      <c r="F59" s="6"/>
      <c r="G59" s="8"/>
      <c r="J59" s="5"/>
      <c r="K59" s="7"/>
      <c r="L59" s="6"/>
      <c r="M59" s="5"/>
    </row>
    <row r="60" spans="1:13" x14ac:dyDescent="0.55000000000000004">
      <c r="A60" s="6"/>
      <c r="B60" s="8"/>
      <c r="E60" s="6"/>
      <c r="F60" s="6"/>
      <c r="G60" s="8"/>
      <c r="J60" s="5"/>
      <c r="K60" s="7"/>
      <c r="L60" s="6"/>
      <c r="M60" s="5"/>
    </row>
    <row r="61" spans="1:13" x14ac:dyDescent="0.55000000000000004">
      <c r="A61" s="6"/>
      <c r="B61" s="8"/>
      <c r="E61" s="6"/>
      <c r="F61" s="6"/>
      <c r="G61" s="8"/>
      <c r="J61" s="5"/>
      <c r="K61" s="7"/>
      <c r="L61" s="6"/>
      <c r="M61" s="5"/>
    </row>
    <row r="62" spans="1:13" x14ac:dyDescent="0.55000000000000004">
      <c r="A62" s="6"/>
      <c r="B62" s="8"/>
      <c r="E62" s="6"/>
      <c r="F62" s="6"/>
      <c r="G62" s="8"/>
      <c r="J62" s="5"/>
      <c r="K62" s="7"/>
      <c r="L62" s="6"/>
      <c r="M62" s="5"/>
    </row>
    <row r="63" spans="1:13" x14ac:dyDescent="0.55000000000000004">
      <c r="A63" s="6"/>
      <c r="B63" s="8"/>
      <c r="E63" s="6"/>
      <c r="F63" s="6"/>
      <c r="G63" s="8"/>
      <c r="J63" s="5"/>
      <c r="K63" s="7"/>
      <c r="L63" s="6"/>
      <c r="M63" s="5"/>
    </row>
    <row r="64" spans="1:13" x14ac:dyDescent="0.55000000000000004">
      <c r="A64" s="6"/>
      <c r="B64" s="8"/>
      <c r="E64" s="6"/>
      <c r="F64" s="6"/>
      <c r="G64" s="8"/>
      <c r="J64" s="5"/>
      <c r="K64" s="7"/>
      <c r="L64" s="6"/>
      <c r="M64" s="5"/>
    </row>
    <row r="65" spans="1:13" x14ac:dyDescent="0.55000000000000004">
      <c r="A65" s="6"/>
      <c r="B65" s="8"/>
      <c r="E65" s="6"/>
      <c r="F65" s="6"/>
      <c r="G65" s="8"/>
      <c r="J65" s="5"/>
      <c r="K65" s="7"/>
      <c r="L65" s="6"/>
      <c r="M65" s="5"/>
    </row>
    <row r="66" spans="1:13" x14ac:dyDescent="0.55000000000000004">
      <c r="A66" s="6"/>
      <c r="B66" s="8"/>
      <c r="E66" s="6"/>
      <c r="F66" s="6"/>
      <c r="G66" s="8"/>
      <c r="J66" s="5"/>
      <c r="K66" s="7"/>
      <c r="L66" s="6"/>
      <c r="M66" s="5"/>
    </row>
    <row r="67" spans="1:13" x14ac:dyDescent="0.55000000000000004">
      <c r="A67" s="6"/>
      <c r="B67" s="8"/>
      <c r="E67" s="6"/>
      <c r="F67" s="6"/>
      <c r="G67" s="8"/>
      <c r="J67" s="5"/>
      <c r="K67" s="7"/>
      <c r="L67" s="6"/>
      <c r="M67" s="5"/>
    </row>
    <row r="68" spans="1:13" x14ac:dyDescent="0.55000000000000004">
      <c r="A68" s="6"/>
      <c r="B68" s="8"/>
      <c r="E68" s="6"/>
      <c r="F68" s="6"/>
      <c r="G68" s="8"/>
      <c r="J68" s="5"/>
      <c r="K68" s="7"/>
      <c r="L68" s="6"/>
      <c r="M68" s="5"/>
    </row>
    <row r="69" spans="1:13" x14ac:dyDescent="0.55000000000000004">
      <c r="A69" s="6"/>
      <c r="B69" s="8"/>
      <c r="E69" s="6"/>
      <c r="F69" s="6"/>
      <c r="G69" s="8"/>
      <c r="J69" s="5"/>
      <c r="K69" s="7"/>
      <c r="L69" s="6"/>
      <c r="M69" s="5"/>
    </row>
    <row r="70" spans="1:13" x14ac:dyDescent="0.55000000000000004">
      <c r="A70" s="6"/>
      <c r="B70" s="8"/>
      <c r="E70" s="6"/>
      <c r="F70" s="6"/>
      <c r="G70" s="8"/>
      <c r="J70" s="5"/>
      <c r="K70" s="7"/>
      <c r="L70" s="6"/>
      <c r="M70" s="5"/>
    </row>
    <row r="71" spans="1:13" x14ac:dyDescent="0.55000000000000004">
      <c r="A71" s="6"/>
      <c r="B71" s="8"/>
      <c r="E71" s="6"/>
      <c r="F71" s="6"/>
      <c r="G71" s="8"/>
      <c r="J71" s="5"/>
      <c r="K71" s="7"/>
      <c r="L71" s="6"/>
      <c r="M71" s="5"/>
    </row>
    <row r="72" spans="1:13" x14ac:dyDescent="0.55000000000000004">
      <c r="A72" s="6"/>
      <c r="B72" s="8"/>
      <c r="E72" s="6"/>
      <c r="F72" s="6"/>
      <c r="G72" s="8"/>
      <c r="J72" s="5"/>
      <c r="K72" s="7"/>
      <c r="L72" s="6"/>
      <c r="M72" s="5"/>
    </row>
    <row r="73" spans="1:13" x14ac:dyDescent="0.55000000000000004">
      <c r="A73" s="6"/>
      <c r="B73" s="8"/>
      <c r="E73" s="6"/>
      <c r="F73" s="6"/>
      <c r="G73" s="8"/>
      <c r="J73" s="5"/>
      <c r="K73" s="7"/>
      <c r="L73" s="6"/>
      <c r="M73" s="5"/>
    </row>
    <row r="74" spans="1:13" x14ac:dyDescent="0.55000000000000004">
      <c r="A74" s="6"/>
      <c r="B74" s="8"/>
      <c r="E74" s="6"/>
      <c r="F74" s="6"/>
      <c r="G74" s="8"/>
      <c r="J74" s="5"/>
      <c r="K74" s="7"/>
      <c r="L74" s="6"/>
      <c r="M74" s="5"/>
    </row>
    <row r="75" spans="1:13" x14ac:dyDescent="0.55000000000000004">
      <c r="A75" s="6"/>
      <c r="B75" s="8"/>
      <c r="E75" s="6"/>
      <c r="F75" s="6"/>
      <c r="G75" s="8"/>
      <c r="J75" s="5"/>
      <c r="K75" s="7"/>
      <c r="L75" s="6"/>
      <c r="M75" s="5"/>
    </row>
    <row r="76" spans="1:13" x14ac:dyDescent="0.55000000000000004">
      <c r="A76" s="6"/>
      <c r="B76" s="8"/>
      <c r="E76" s="6"/>
      <c r="F76" s="6"/>
      <c r="G76" s="8"/>
      <c r="J76" s="5"/>
      <c r="K76" s="7"/>
      <c r="L76" s="6"/>
      <c r="M76" s="5"/>
    </row>
    <row r="77" spans="1:13" x14ac:dyDescent="0.55000000000000004">
      <c r="A77" s="6"/>
      <c r="B77" s="8"/>
      <c r="E77" s="6"/>
      <c r="F77" s="6"/>
      <c r="G77" s="8"/>
      <c r="J77" s="5"/>
      <c r="K77" s="7"/>
      <c r="L77" s="6"/>
      <c r="M77" s="5"/>
    </row>
    <row r="78" spans="1:13" x14ac:dyDescent="0.55000000000000004">
      <c r="A78" s="6"/>
      <c r="B78" s="8"/>
      <c r="E78" s="6"/>
      <c r="F78" s="6"/>
      <c r="G78" s="8"/>
      <c r="J78" s="5"/>
      <c r="K78" s="7"/>
      <c r="L78" s="6"/>
      <c r="M78" s="5"/>
    </row>
    <row r="79" spans="1:13" x14ac:dyDescent="0.55000000000000004">
      <c r="A79" s="6"/>
      <c r="B79" s="8"/>
      <c r="E79" s="6"/>
      <c r="F79" s="6"/>
      <c r="G79" s="8"/>
      <c r="J79" s="5"/>
      <c r="K79" s="7"/>
      <c r="L79" s="6"/>
      <c r="M79" s="5"/>
    </row>
    <row r="80" spans="1:13" x14ac:dyDescent="0.55000000000000004">
      <c r="A80" s="6"/>
      <c r="B80" s="8"/>
      <c r="E80" s="6"/>
      <c r="F80" s="6"/>
      <c r="G80" s="8"/>
      <c r="J80" s="5"/>
      <c r="K80" s="7"/>
      <c r="L80" s="6"/>
      <c r="M80" s="5"/>
    </row>
    <row r="81" spans="1:13" x14ac:dyDescent="0.55000000000000004">
      <c r="A81" s="6"/>
      <c r="B81" s="8"/>
      <c r="E81" s="6"/>
      <c r="F81" s="6"/>
      <c r="G81" s="8"/>
      <c r="J81" s="5"/>
      <c r="K81" s="7"/>
      <c r="L81" s="6"/>
      <c r="M81" s="5"/>
    </row>
    <row r="82" spans="1:13" x14ac:dyDescent="0.55000000000000004">
      <c r="A82" s="6"/>
      <c r="B82" s="8"/>
      <c r="E82" s="6"/>
      <c r="F82" s="6"/>
      <c r="G82" s="8"/>
      <c r="J82" s="5"/>
      <c r="K82" s="7"/>
      <c r="L82" s="6"/>
      <c r="M82" s="5"/>
    </row>
    <row r="83" spans="1:13" x14ac:dyDescent="0.55000000000000004">
      <c r="A83" s="6"/>
      <c r="B83" s="8"/>
      <c r="E83" s="6"/>
      <c r="F83" s="6"/>
      <c r="G83" s="8"/>
      <c r="J83" s="5"/>
      <c r="K83" s="7"/>
      <c r="L83" s="6"/>
      <c r="M83" s="5"/>
    </row>
    <row r="84" spans="1:13" x14ac:dyDescent="0.55000000000000004">
      <c r="A84" s="6"/>
      <c r="B84" s="8"/>
      <c r="E84" s="6"/>
      <c r="F84" s="6"/>
      <c r="G84" s="8"/>
      <c r="J84" s="5"/>
      <c r="K84" s="7"/>
      <c r="L84" s="6"/>
      <c r="M84" s="5"/>
    </row>
    <row r="85" spans="1:13" x14ac:dyDescent="0.55000000000000004">
      <c r="A85" s="6"/>
      <c r="B85" s="8"/>
      <c r="E85" s="6"/>
      <c r="F85" s="6"/>
      <c r="G85" s="8"/>
      <c r="J85" s="5"/>
      <c r="K85" s="7"/>
      <c r="L85" s="6"/>
      <c r="M85" s="5"/>
    </row>
    <row r="86" spans="1:13" x14ac:dyDescent="0.55000000000000004">
      <c r="A86" s="6"/>
      <c r="B86" s="8"/>
      <c r="E86" s="6"/>
      <c r="F86" s="6"/>
      <c r="G86" s="8"/>
      <c r="J86" s="5"/>
      <c r="K86" s="7"/>
      <c r="L86" s="6"/>
      <c r="M86" s="5"/>
    </row>
    <row r="87" spans="1:13" x14ac:dyDescent="0.55000000000000004">
      <c r="A87" s="6"/>
      <c r="B87" s="8"/>
      <c r="E87" s="6"/>
      <c r="F87" s="6"/>
      <c r="G87" s="8"/>
      <c r="J87" s="5"/>
      <c r="K87" s="7"/>
      <c r="L87" s="6"/>
      <c r="M87" s="5"/>
    </row>
    <row r="88" spans="1:13" x14ac:dyDescent="0.55000000000000004">
      <c r="A88" s="6"/>
      <c r="B88" s="8"/>
      <c r="E88" s="6"/>
      <c r="F88" s="6"/>
      <c r="G88" s="8"/>
      <c r="J88" s="5"/>
      <c r="K88" s="7"/>
      <c r="L88" s="6"/>
      <c r="M88" s="5"/>
    </row>
    <row r="89" spans="1:13" x14ac:dyDescent="0.55000000000000004">
      <c r="A89" s="6"/>
      <c r="B89" s="8"/>
      <c r="E89" s="6"/>
      <c r="F89" s="6"/>
      <c r="G89" s="8"/>
      <c r="J89" s="5"/>
      <c r="K89" s="7"/>
      <c r="L89" s="6"/>
      <c r="M89" s="5"/>
    </row>
    <row r="90" spans="1:13" x14ac:dyDescent="0.55000000000000004">
      <c r="A90" s="6"/>
      <c r="B90" s="8"/>
      <c r="E90" s="6"/>
      <c r="F90" s="6"/>
      <c r="G90" s="8"/>
      <c r="J90" s="5"/>
      <c r="K90" s="7"/>
      <c r="L90" s="6"/>
      <c r="M90" s="5"/>
    </row>
    <row r="91" spans="1:13" x14ac:dyDescent="0.55000000000000004">
      <c r="A91" s="6"/>
      <c r="B91" s="8"/>
      <c r="E91" s="6"/>
      <c r="F91" s="6"/>
      <c r="G91" s="8"/>
      <c r="J91" s="5"/>
      <c r="K91" s="7"/>
      <c r="L91" s="6"/>
      <c r="M91" s="5"/>
    </row>
    <row r="92" spans="1:13" x14ac:dyDescent="0.55000000000000004">
      <c r="A92" s="6"/>
      <c r="B92" s="8"/>
      <c r="E92" s="6"/>
      <c r="F92" s="6"/>
      <c r="G92" s="8"/>
      <c r="J92" s="5"/>
      <c r="K92" s="7"/>
      <c r="L92" s="6"/>
      <c r="M92" s="5"/>
    </row>
    <row r="93" spans="1:13" x14ac:dyDescent="0.55000000000000004">
      <c r="A93" s="6"/>
      <c r="B93" s="8"/>
      <c r="E93" s="6"/>
      <c r="F93" s="6"/>
      <c r="G93" s="8"/>
      <c r="J93" s="5"/>
      <c r="K93" s="7"/>
      <c r="L93" s="6"/>
      <c r="M93" s="5"/>
    </row>
    <row r="94" spans="1:13" x14ac:dyDescent="0.55000000000000004">
      <c r="A94" s="6"/>
      <c r="B94" s="8"/>
      <c r="E94" s="6"/>
      <c r="F94" s="6"/>
      <c r="G94" s="8"/>
      <c r="J94" s="5"/>
      <c r="K94" s="7"/>
      <c r="L94" s="6"/>
      <c r="M94" s="5"/>
    </row>
    <row r="95" spans="1:13" x14ac:dyDescent="0.55000000000000004">
      <c r="A95" s="6"/>
      <c r="B95" s="8"/>
      <c r="E95" s="6"/>
      <c r="F95" s="6"/>
      <c r="G95" s="8"/>
      <c r="J95" s="5"/>
      <c r="K95" s="7"/>
      <c r="L95" s="6"/>
      <c r="M95" s="5"/>
    </row>
    <row r="96" spans="1:13" x14ac:dyDescent="0.55000000000000004">
      <c r="A96" s="6"/>
      <c r="B96" s="8"/>
      <c r="E96" s="6"/>
      <c r="F96" s="6"/>
      <c r="G96" s="8"/>
      <c r="J96" s="5"/>
      <c r="K96" s="7"/>
      <c r="L96" s="6"/>
      <c r="M96" s="5"/>
    </row>
    <row r="97" spans="1:13" x14ac:dyDescent="0.55000000000000004">
      <c r="A97" s="6"/>
      <c r="B97" s="8"/>
      <c r="E97" s="6"/>
      <c r="F97" s="6"/>
      <c r="G97" s="8"/>
      <c r="J97" s="5"/>
      <c r="K97" s="7"/>
      <c r="L97" s="6"/>
      <c r="M97" s="5"/>
    </row>
    <row r="98" spans="1:13" x14ac:dyDescent="0.55000000000000004">
      <c r="A98" s="6"/>
      <c r="B98" s="8"/>
      <c r="E98" s="6"/>
      <c r="F98" s="6"/>
      <c r="G98" s="8"/>
      <c r="J98" s="5"/>
      <c r="K98" s="7"/>
      <c r="L98" s="6"/>
      <c r="M98" s="5"/>
    </row>
    <row r="99" spans="1:13" x14ac:dyDescent="0.55000000000000004">
      <c r="A99" s="6"/>
      <c r="B99" s="8"/>
      <c r="E99" s="6"/>
      <c r="F99" s="6"/>
      <c r="G99" s="8"/>
      <c r="J99" s="5"/>
      <c r="K99" s="7"/>
      <c r="L99" s="6"/>
      <c r="M99" s="5"/>
    </row>
    <row r="100" spans="1:13" x14ac:dyDescent="0.55000000000000004">
      <c r="A100" s="6"/>
      <c r="B100" s="8"/>
      <c r="E100" s="6"/>
      <c r="F100" s="6"/>
      <c r="G100" s="8"/>
      <c r="J100" s="5"/>
      <c r="K100" s="7"/>
      <c r="L100" s="6"/>
      <c r="M100" s="5"/>
    </row>
    <row r="101" spans="1:13" x14ac:dyDescent="0.55000000000000004">
      <c r="A101" s="6"/>
      <c r="B101" s="8"/>
      <c r="E101" s="6"/>
      <c r="F101" s="6"/>
      <c r="G101" s="8"/>
      <c r="J101" s="5"/>
      <c r="K101" s="7"/>
      <c r="L101" s="6"/>
      <c r="M101" s="5"/>
    </row>
    <row r="102" spans="1:13" x14ac:dyDescent="0.55000000000000004">
      <c r="A102" s="6"/>
      <c r="B102" s="8"/>
      <c r="E102" s="6"/>
      <c r="F102" s="6"/>
      <c r="G102" s="8"/>
      <c r="J102" s="5"/>
      <c r="K102" s="7"/>
      <c r="L102" s="6"/>
      <c r="M102" s="5"/>
    </row>
    <row r="103" spans="1:13" x14ac:dyDescent="0.55000000000000004">
      <c r="A103" s="6"/>
      <c r="B103" s="8"/>
      <c r="E103" s="6"/>
      <c r="F103" s="6"/>
      <c r="G103" s="8"/>
      <c r="J103" s="5"/>
      <c r="K103" s="7"/>
      <c r="L103" s="6"/>
      <c r="M103" s="5"/>
    </row>
    <row r="104" spans="1:13" x14ac:dyDescent="0.55000000000000004">
      <c r="A104" s="6"/>
      <c r="B104" s="8"/>
      <c r="E104" s="6"/>
      <c r="F104" s="6"/>
      <c r="G104" s="8"/>
      <c r="J104" s="5"/>
      <c r="K104" s="7"/>
      <c r="L104" s="6"/>
      <c r="M104" s="5"/>
    </row>
    <row r="105" spans="1:13" x14ac:dyDescent="0.55000000000000004">
      <c r="A105" s="6"/>
      <c r="B105" s="8"/>
      <c r="E105" s="6"/>
      <c r="F105" s="6"/>
      <c r="G105" s="8"/>
      <c r="J105" s="5"/>
      <c r="K105" s="7"/>
      <c r="L105" s="6"/>
      <c r="M105" s="5"/>
    </row>
    <row r="106" spans="1:13" x14ac:dyDescent="0.55000000000000004">
      <c r="A106" s="6"/>
      <c r="B106" s="8"/>
      <c r="E106" s="6"/>
      <c r="F106" s="6"/>
      <c r="G106" s="8"/>
      <c r="J106" s="5"/>
      <c r="K106" s="7"/>
      <c r="L106" s="6"/>
      <c r="M106" s="5"/>
    </row>
    <row r="107" spans="1:13" x14ac:dyDescent="0.55000000000000004">
      <c r="A107" s="6"/>
      <c r="B107" s="8"/>
      <c r="E107" s="6"/>
      <c r="F107" s="6"/>
      <c r="G107" s="8"/>
      <c r="J107" s="5"/>
      <c r="K107" s="7"/>
      <c r="L107" s="6"/>
      <c r="M107" s="5"/>
    </row>
    <row r="108" spans="1:13" x14ac:dyDescent="0.55000000000000004">
      <c r="A108" s="6"/>
      <c r="B108" s="8"/>
      <c r="E108" s="6"/>
      <c r="F108" s="6"/>
      <c r="G108" s="8"/>
      <c r="J108" s="5"/>
      <c r="K108" s="7"/>
      <c r="L108" s="6"/>
      <c r="M108" s="5"/>
    </row>
    <row r="109" spans="1:13" x14ac:dyDescent="0.55000000000000004">
      <c r="A109" s="6"/>
      <c r="B109" s="8"/>
      <c r="E109" s="6"/>
      <c r="F109" s="6"/>
      <c r="G109" s="8"/>
      <c r="J109" s="5"/>
      <c r="K109" s="7"/>
      <c r="L109" s="6"/>
      <c r="M109" s="5"/>
    </row>
    <row r="110" spans="1:13" x14ac:dyDescent="0.55000000000000004">
      <c r="A110" s="6"/>
      <c r="B110" s="8"/>
      <c r="E110" s="6"/>
      <c r="F110" s="6"/>
      <c r="G110" s="8"/>
      <c r="J110" s="5"/>
      <c r="K110" s="7"/>
      <c r="L110" s="6"/>
      <c r="M110" s="5"/>
    </row>
    <row r="111" spans="1:13" x14ac:dyDescent="0.55000000000000004">
      <c r="A111" s="6"/>
      <c r="B111" s="8"/>
      <c r="E111" s="6"/>
      <c r="F111" s="6"/>
      <c r="G111" s="8"/>
      <c r="J111" s="5"/>
      <c r="K111" s="7"/>
      <c r="L111" s="6"/>
      <c r="M111" s="5"/>
    </row>
    <row r="112" spans="1:13" x14ac:dyDescent="0.55000000000000004">
      <c r="A112" s="6"/>
      <c r="B112" s="8"/>
      <c r="E112" s="6"/>
      <c r="F112" s="6"/>
      <c r="G112" s="8"/>
      <c r="J112" s="5"/>
      <c r="K112" s="7"/>
      <c r="L112" s="6"/>
      <c r="M112" s="5"/>
    </row>
    <row r="113" spans="1:13" x14ac:dyDescent="0.55000000000000004">
      <c r="A113" s="6"/>
      <c r="B113" s="8"/>
      <c r="E113" s="6"/>
      <c r="F113" s="6"/>
      <c r="G113" s="8"/>
      <c r="J113" s="5"/>
      <c r="K113" s="7"/>
      <c r="L113" s="6"/>
      <c r="M113" s="5"/>
    </row>
    <row r="114" spans="1:13" x14ac:dyDescent="0.55000000000000004">
      <c r="A114" s="6"/>
      <c r="B114" s="8"/>
      <c r="E114" s="6"/>
      <c r="F114" s="6"/>
      <c r="G114" s="8"/>
      <c r="J114" s="5"/>
      <c r="K114" s="7"/>
      <c r="L114" s="6"/>
      <c r="M114" s="5"/>
    </row>
    <row r="115" spans="1:13" x14ac:dyDescent="0.55000000000000004">
      <c r="A115" s="6"/>
      <c r="B115" s="8"/>
      <c r="E115" s="6"/>
      <c r="F115" s="6"/>
      <c r="G115" s="8"/>
      <c r="J115" s="5"/>
      <c r="K115" s="7"/>
      <c r="L115" s="6"/>
      <c r="M115" s="5"/>
    </row>
    <row r="116" spans="1:13" x14ac:dyDescent="0.55000000000000004">
      <c r="A116" s="6"/>
      <c r="B116" s="8"/>
      <c r="E116" s="6"/>
      <c r="F116" s="6"/>
      <c r="G116" s="8"/>
      <c r="J116" s="5"/>
      <c r="K116" s="7"/>
      <c r="L116" s="6"/>
      <c r="M116" s="5"/>
    </row>
    <row r="117" spans="1:13" x14ac:dyDescent="0.55000000000000004">
      <c r="A117" s="6"/>
      <c r="B117" s="8"/>
      <c r="E117" s="6"/>
      <c r="F117" s="6"/>
      <c r="G117" s="8"/>
      <c r="J117" s="5"/>
      <c r="K117" s="7"/>
      <c r="L117" s="6"/>
      <c r="M117" s="5"/>
    </row>
    <row r="118" spans="1:13" x14ac:dyDescent="0.55000000000000004">
      <c r="A118" s="6"/>
      <c r="B118" s="8"/>
      <c r="E118" s="6"/>
      <c r="F118" s="6"/>
      <c r="G118" s="8"/>
      <c r="J118" s="5"/>
      <c r="K118" s="7"/>
      <c r="L118" s="6"/>
      <c r="M118" s="5"/>
    </row>
    <row r="119" spans="1:13" x14ac:dyDescent="0.55000000000000004">
      <c r="A119" s="6"/>
      <c r="B119" s="8"/>
      <c r="E119" s="6"/>
      <c r="F119" s="6"/>
      <c r="G119" s="8"/>
      <c r="J119" s="5"/>
      <c r="K119" s="7"/>
      <c r="L119" s="6"/>
      <c r="M119" s="5"/>
    </row>
    <row r="120" spans="1:13" x14ac:dyDescent="0.55000000000000004">
      <c r="A120" s="6"/>
      <c r="B120" s="8"/>
      <c r="E120" s="6"/>
      <c r="F120" s="6"/>
      <c r="G120" s="8"/>
      <c r="J120" s="5"/>
      <c r="K120" s="7"/>
      <c r="L120" s="6"/>
      <c r="M120" s="5"/>
    </row>
    <row r="121" spans="1:13" x14ac:dyDescent="0.55000000000000004">
      <c r="A121" s="6"/>
      <c r="B121" s="8"/>
      <c r="E121" s="6"/>
      <c r="F121" s="6"/>
      <c r="G121" s="8"/>
      <c r="J121" s="5"/>
      <c r="K121" s="7"/>
      <c r="L121" s="6"/>
      <c r="M121" s="5"/>
    </row>
    <row r="122" spans="1:13" x14ac:dyDescent="0.55000000000000004">
      <c r="A122" s="6"/>
      <c r="B122" s="8"/>
      <c r="E122" s="6"/>
      <c r="F122" s="6"/>
      <c r="G122" s="8"/>
      <c r="J122" s="5"/>
      <c r="K122" s="7"/>
      <c r="L122" s="6"/>
      <c r="M122" s="5"/>
    </row>
    <row r="123" spans="1:13" x14ac:dyDescent="0.55000000000000004">
      <c r="A123" s="6"/>
      <c r="B123" s="8"/>
      <c r="E123" s="6"/>
      <c r="F123" s="6"/>
      <c r="G123" s="8"/>
      <c r="J123" s="5"/>
      <c r="K123" s="7"/>
      <c r="L123" s="6"/>
      <c r="M123" s="5"/>
    </row>
    <row r="124" spans="1:13" x14ac:dyDescent="0.55000000000000004">
      <c r="A124" s="6"/>
      <c r="B124" s="8"/>
      <c r="E124" s="6"/>
      <c r="F124" s="6"/>
      <c r="G124" s="8"/>
      <c r="J124" s="5"/>
      <c r="K124" s="7"/>
      <c r="L124" s="6"/>
      <c r="M124" s="5"/>
    </row>
    <row r="125" spans="1:13" x14ac:dyDescent="0.55000000000000004">
      <c r="A125" s="6"/>
      <c r="B125" s="8"/>
      <c r="E125" s="6"/>
      <c r="F125" s="6"/>
      <c r="G125" s="8"/>
      <c r="J125" s="5"/>
      <c r="K125" s="7"/>
      <c r="L125" s="6"/>
      <c r="M125" s="5"/>
    </row>
    <row r="126" spans="1:13" x14ac:dyDescent="0.55000000000000004">
      <c r="A126" s="6"/>
      <c r="B126" s="8"/>
      <c r="E126" s="6"/>
      <c r="F126" s="6"/>
      <c r="G126" s="8"/>
      <c r="J126" s="5"/>
      <c r="K126" s="7"/>
      <c r="L126" s="6"/>
      <c r="M126" s="5"/>
    </row>
    <row r="127" spans="1:13" x14ac:dyDescent="0.55000000000000004">
      <c r="A127" s="6"/>
      <c r="B127" s="8"/>
      <c r="E127" s="6"/>
      <c r="F127" s="6"/>
      <c r="G127" s="8"/>
      <c r="J127" s="5"/>
      <c r="K127" s="7"/>
      <c r="L127" s="6"/>
      <c r="M127" s="5"/>
    </row>
    <row r="128" spans="1:13" x14ac:dyDescent="0.55000000000000004">
      <c r="A128" s="6"/>
      <c r="B128" s="8"/>
      <c r="E128" s="6"/>
      <c r="F128" s="6"/>
      <c r="G128" s="8"/>
      <c r="J128" s="5"/>
      <c r="K128" s="7"/>
      <c r="L128" s="6"/>
      <c r="M128" s="5"/>
    </row>
    <row r="129" spans="1:13" x14ac:dyDescent="0.55000000000000004">
      <c r="A129" s="6"/>
      <c r="B129" s="8"/>
      <c r="E129" s="6"/>
      <c r="F129" s="6"/>
      <c r="G129" s="8"/>
      <c r="J129" s="5"/>
      <c r="K129" s="7"/>
      <c r="L129" s="6"/>
      <c r="M129" s="5"/>
    </row>
    <row r="130" spans="1:13" x14ac:dyDescent="0.55000000000000004">
      <c r="A130" s="6"/>
      <c r="B130" s="8"/>
      <c r="E130" s="6"/>
      <c r="F130" s="6"/>
      <c r="G130" s="8"/>
      <c r="J130" s="5"/>
      <c r="K130" s="7"/>
      <c r="L130" s="6"/>
      <c r="M130" s="5"/>
    </row>
    <row r="131" spans="1:13" x14ac:dyDescent="0.55000000000000004">
      <c r="A131" s="6"/>
      <c r="B131" s="8"/>
      <c r="E131" s="6"/>
      <c r="F131" s="6"/>
      <c r="G131" s="8"/>
      <c r="J131" s="5"/>
      <c r="K131" s="7"/>
      <c r="L131" s="6"/>
      <c r="M131" s="5"/>
    </row>
    <row r="132" spans="1:13" x14ac:dyDescent="0.55000000000000004">
      <c r="A132" s="6"/>
      <c r="B132" s="8"/>
      <c r="E132" s="6"/>
      <c r="F132" s="6"/>
      <c r="G132" s="8"/>
      <c r="J132" s="5"/>
      <c r="K132" s="7"/>
      <c r="L132" s="6"/>
      <c r="M132" s="5"/>
    </row>
    <row r="133" spans="1:13" x14ac:dyDescent="0.55000000000000004">
      <c r="A133" s="6"/>
      <c r="B133" s="8"/>
      <c r="E133" s="6"/>
      <c r="F133" s="6"/>
      <c r="G133" s="8"/>
      <c r="J133" s="5"/>
      <c r="K133" s="7"/>
      <c r="L133" s="6"/>
      <c r="M133" s="5"/>
    </row>
    <row r="134" spans="1:13" x14ac:dyDescent="0.55000000000000004">
      <c r="A134" s="6"/>
      <c r="B134" s="8"/>
      <c r="E134" s="6"/>
      <c r="F134" s="6"/>
      <c r="G134" s="8"/>
      <c r="J134" s="5"/>
      <c r="K134" s="7"/>
      <c r="L134" s="6"/>
      <c r="M134" s="5"/>
    </row>
    <row r="135" spans="1:13" x14ac:dyDescent="0.55000000000000004">
      <c r="A135" s="6"/>
      <c r="B135" s="8"/>
      <c r="E135" s="6"/>
      <c r="F135" s="6"/>
      <c r="G135" s="8"/>
      <c r="J135" s="5"/>
      <c r="K135" s="7"/>
      <c r="L135" s="6"/>
      <c r="M135" s="5"/>
    </row>
    <row r="136" spans="1:13" x14ac:dyDescent="0.55000000000000004">
      <c r="A136" s="6"/>
      <c r="B136" s="8"/>
      <c r="E136" s="6"/>
      <c r="F136" s="6"/>
      <c r="G136" s="8"/>
      <c r="J136" s="5"/>
      <c r="K136" s="7"/>
      <c r="L136" s="6"/>
      <c r="M136" s="5"/>
    </row>
    <row r="137" spans="1:13" x14ac:dyDescent="0.55000000000000004">
      <c r="A137" s="6"/>
      <c r="B137" s="8"/>
      <c r="E137" s="6"/>
      <c r="F137" s="6"/>
      <c r="G137" s="8"/>
      <c r="J137" s="5"/>
      <c r="K137" s="7"/>
      <c r="L137" s="6"/>
      <c r="M137" s="5"/>
    </row>
    <row r="138" spans="1:13" x14ac:dyDescent="0.55000000000000004">
      <c r="A138" s="6"/>
      <c r="B138" s="8"/>
      <c r="E138" s="6"/>
      <c r="F138" s="6"/>
      <c r="G138" s="8"/>
      <c r="J138" s="5"/>
      <c r="K138" s="7"/>
      <c r="L138" s="6"/>
      <c r="M138" s="5"/>
    </row>
    <row r="139" spans="1:13" x14ac:dyDescent="0.55000000000000004">
      <c r="A139" s="6"/>
      <c r="B139" s="8"/>
      <c r="E139" s="6"/>
      <c r="F139" s="6"/>
      <c r="G139" s="8"/>
      <c r="J139" s="5"/>
      <c r="K139" s="7"/>
      <c r="L139" s="6"/>
      <c r="M139" s="5"/>
    </row>
    <row r="140" spans="1:13" x14ac:dyDescent="0.55000000000000004">
      <c r="A140" s="6"/>
      <c r="B140" s="8"/>
      <c r="E140" s="6"/>
      <c r="F140" s="6"/>
      <c r="G140" s="8"/>
      <c r="J140" s="5"/>
      <c r="K140" s="7"/>
      <c r="L140" s="6"/>
      <c r="M140" s="5"/>
    </row>
    <row r="141" spans="1:13" x14ac:dyDescent="0.55000000000000004">
      <c r="A141" s="6"/>
      <c r="B141" s="8"/>
      <c r="E141" s="6"/>
      <c r="F141" s="6"/>
      <c r="G141" s="8"/>
      <c r="J141" s="5"/>
      <c r="K141" s="7"/>
      <c r="L141" s="6"/>
      <c r="M141" s="5"/>
    </row>
    <row r="142" spans="1:13" x14ac:dyDescent="0.55000000000000004">
      <c r="A142" s="6"/>
      <c r="B142" s="8"/>
      <c r="E142" s="6"/>
      <c r="F142" s="6"/>
      <c r="G142" s="8"/>
      <c r="J142" s="5"/>
      <c r="K142" s="7"/>
      <c r="L142" s="6"/>
      <c r="M142" s="5"/>
    </row>
    <row r="143" spans="1:13" x14ac:dyDescent="0.55000000000000004">
      <c r="A143" s="6"/>
      <c r="B143" s="8"/>
      <c r="E143" s="6"/>
      <c r="F143" s="6"/>
      <c r="G143" s="8"/>
      <c r="J143" s="5"/>
      <c r="K143" s="7"/>
      <c r="L143" s="6"/>
      <c r="M143" s="5"/>
    </row>
    <row r="144" spans="1:13" x14ac:dyDescent="0.55000000000000004">
      <c r="A144" s="6"/>
      <c r="B144" s="8"/>
      <c r="E144" s="6"/>
      <c r="F144" s="6"/>
      <c r="G144" s="8"/>
      <c r="J144" s="5"/>
      <c r="K144" s="7"/>
      <c r="L144" s="6"/>
      <c r="M144" s="5"/>
    </row>
    <row r="145" spans="1:13" x14ac:dyDescent="0.55000000000000004">
      <c r="A145" s="6"/>
      <c r="B145" s="8"/>
      <c r="E145" s="6"/>
      <c r="F145" s="6"/>
      <c r="G145" s="8"/>
      <c r="J145" s="5"/>
      <c r="K145" s="7"/>
      <c r="L145" s="6"/>
      <c r="M145" s="5"/>
    </row>
    <row r="146" spans="1:13" x14ac:dyDescent="0.55000000000000004">
      <c r="A146" s="6"/>
      <c r="B146" s="8"/>
      <c r="E146" s="6"/>
      <c r="F146" s="6"/>
      <c r="G146" s="8"/>
      <c r="J146" s="5"/>
      <c r="K146" s="7"/>
      <c r="L146" s="6"/>
      <c r="M146" s="5"/>
    </row>
    <row r="147" spans="1:13" x14ac:dyDescent="0.55000000000000004">
      <c r="A147" s="6"/>
      <c r="B147" s="8"/>
      <c r="E147" s="6"/>
      <c r="F147" s="6"/>
      <c r="G147" s="8"/>
      <c r="J147" s="5"/>
      <c r="K147" s="7"/>
      <c r="L147" s="6"/>
      <c r="M147" s="5"/>
    </row>
    <row r="148" spans="1:13" x14ac:dyDescent="0.55000000000000004">
      <c r="A148" s="6"/>
      <c r="B148" s="8"/>
      <c r="E148" s="6"/>
      <c r="F148" s="6"/>
      <c r="G148" s="8"/>
      <c r="J148" s="5"/>
      <c r="K148" s="7"/>
      <c r="L148" s="6"/>
      <c r="M148" s="5"/>
    </row>
    <row r="149" spans="1:13" x14ac:dyDescent="0.55000000000000004">
      <c r="A149" s="6"/>
      <c r="B149" s="8"/>
      <c r="E149" s="6"/>
      <c r="F149" s="6"/>
      <c r="G149" s="8"/>
      <c r="J149" s="5"/>
      <c r="K149" s="7"/>
      <c r="L149" s="6"/>
      <c r="M149" s="5"/>
    </row>
    <row r="150" spans="1:13" x14ac:dyDescent="0.55000000000000004">
      <c r="A150" s="6"/>
      <c r="B150" s="8"/>
      <c r="E150" s="6"/>
      <c r="F150" s="6"/>
      <c r="G150" s="8"/>
      <c r="J150" s="5"/>
      <c r="K150" s="7"/>
      <c r="L150" s="6"/>
      <c r="M150" s="5"/>
    </row>
    <row r="151" spans="1:13" x14ac:dyDescent="0.55000000000000004">
      <c r="A151" s="6"/>
      <c r="B151" s="8"/>
      <c r="E151" s="6"/>
      <c r="F151" s="6"/>
      <c r="G151" s="8"/>
      <c r="J151" s="5"/>
      <c r="K151" s="7"/>
      <c r="L151" s="6"/>
      <c r="M151" s="5"/>
    </row>
    <row r="152" spans="1:13" x14ac:dyDescent="0.55000000000000004">
      <c r="A152" s="6"/>
      <c r="B152" s="8"/>
      <c r="E152" s="6"/>
      <c r="F152" s="6"/>
      <c r="G152" s="8"/>
      <c r="J152" s="5"/>
      <c r="K152" s="7"/>
      <c r="L152" s="6"/>
      <c r="M152" s="5"/>
    </row>
    <row r="153" spans="1:13" x14ac:dyDescent="0.55000000000000004">
      <c r="A153" s="6"/>
      <c r="B153" s="8"/>
      <c r="E153" s="6"/>
      <c r="F153" s="6"/>
      <c r="G153" s="8"/>
      <c r="J153" s="5"/>
      <c r="K153" s="7"/>
      <c r="L153" s="6"/>
      <c r="M153" s="5"/>
    </row>
    <row r="154" spans="1:13" x14ac:dyDescent="0.55000000000000004">
      <c r="A154" s="6"/>
      <c r="B154" s="8"/>
      <c r="E154" s="6"/>
      <c r="F154" s="6"/>
      <c r="G154" s="8"/>
      <c r="J154" s="5"/>
      <c r="K154" s="7"/>
      <c r="L154" s="6"/>
      <c r="M154" s="5"/>
    </row>
    <row r="155" spans="1:13" x14ac:dyDescent="0.55000000000000004">
      <c r="A155" s="6"/>
      <c r="B155" s="8"/>
      <c r="E155" s="6"/>
      <c r="F155" s="6"/>
      <c r="G155" s="8"/>
      <c r="J155" s="5"/>
      <c r="K155" s="7"/>
      <c r="L155" s="6"/>
      <c r="M155" s="5"/>
    </row>
    <row r="156" spans="1:13" x14ac:dyDescent="0.55000000000000004">
      <c r="A156" s="6"/>
      <c r="B156" s="8"/>
      <c r="E156" s="6"/>
      <c r="F156" s="6"/>
      <c r="G156" s="8"/>
      <c r="J156" s="5"/>
      <c r="K156" s="7"/>
      <c r="L156" s="6"/>
      <c r="M156" s="5"/>
    </row>
    <row r="157" spans="1:13" x14ac:dyDescent="0.55000000000000004">
      <c r="A157" s="6"/>
      <c r="B157" s="8"/>
      <c r="E157" s="6"/>
      <c r="F157" s="6"/>
      <c r="G157" s="8"/>
      <c r="J157" s="5"/>
      <c r="K157" s="7"/>
      <c r="L157" s="6"/>
      <c r="M157" s="5"/>
    </row>
    <row r="158" spans="1:13" x14ac:dyDescent="0.55000000000000004">
      <c r="A158" s="6"/>
      <c r="B158" s="8"/>
      <c r="E158" s="6"/>
      <c r="F158" s="6"/>
      <c r="G158" s="8"/>
      <c r="J158" s="5"/>
      <c r="K158" s="7"/>
      <c r="L158" s="6"/>
      <c r="M158" s="5"/>
    </row>
    <row r="159" spans="1:13" x14ac:dyDescent="0.55000000000000004">
      <c r="A159" s="6"/>
      <c r="B159" s="8"/>
      <c r="E159" s="6"/>
      <c r="F159" s="6"/>
      <c r="G159" s="8"/>
      <c r="J159" s="5"/>
      <c r="K159" s="7"/>
      <c r="L159" s="6"/>
      <c r="M159" s="5"/>
    </row>
    <row r="160" spans="1:13" x14ac:dyDescent="0.55000000000000004">
      <c r="A160" s="6"/>
      <c r="B160" s="8"/>
      <c r="E160" s="6"/>
      <c r="F160" s="6"/>
      <c r="G160" s="8"/>
      <c r="J160" s="5"/>
      <c r="K160" s="7"/>
      <c r="L160" s="6"/>
      <c r="M160" s="5"/>
    </row>
    <row r="161" spans="1:13" x14ac:dyDescent="0.55000000000000004">
      <c r="A161" s="6"/>
      <c r="B161" s="8"/>
      <c r="E161" s="6"/>
      <c r="F161" s="6"/>
      <c r="G161" s="8"/>
      <c r="J161" s="5"/>
      <c r="K161" s="7"/>
      <c r="L161" s="6"/>
      <c r="M161" s="5"/>
    </row>
    <row r="162" spans="1:13" x14ac:dyDescent="0.55000000000000004">
      <c r="A162" s="6"/>
      <c r="B162" s="8"/>
      <c r="E162" s="6"/>
      <c r="F162" s="6"/>
      <c r="G162" s="8"/>
      <c r="J162" s="5"/>
      <c r="K162" s="7"/>
      <c r="L162" s="6"/>
      <c r="M162" s="5"/>
    </row>
    <row r="163" spans="1:13" x14ac:dyDescent="0.55000000000000004">
      <c r="A163" s="6"/>
      <c r="B163" s="8"/>
      <c r="E163" s="6"/>
      <c r="F163" s="6"/>
      <c r="G163" s="8"/>
      <c r="J163" s="5"/>
      <c r="K163" s="7"/>
      <c r="L163" s="6"/>
      <c r="M163" s="5"/>
    </row>
    <row r="164" spans="1:13" x14ac:dyDescent="0.55000000000000004">
      <c r="A164" s="6"/>
      <c r="B164" s="8"/>
      <c r="E164" s="6"/>
      <c r="F164" s="6"/>
      <c r="G164" s="8"/>
      <c r="J164" s="5"/>
      <c r="K164" s="7"/>
      <c r="L164" s="6"/>
      <c r="M164" s="5"/>
    </row>
    <row r="165" spans="1:13" x14ac:dyDescent="0.55000000000000004">
      <c r="A165" s="6"/>
      <c r="B165" s="8"/>
      <c r="E165" s="6"/>
      <c r="F165" s="6"/>
      <c r="G165" s="8"/>
      <c r="J165" s="5"/>
      <c r="K165" s="7"/>
      <c r="L165" s="6"/>
      <c r="M165" s="5"/>
    </row>
    <row r="166" spans="1:13" x14ac:dyDescent="0.55000000000000004">
      <c r="A166" s="6"/>
      <c r="B166" s="8"/>
      <c r="E166" s="6"/>
      <c r="F166" s="6"/>
      <c r="G166" s="8"/>
      <c r="J166" s="5"/>
      <c r="K166" s="7"/>
      <c r="L166" s="6"/>
      <c r="M166" s="5"/>
    </row>
    <row r="167" spans="1:13" x14ac:dyDescent="0.55000000000000004">
      <c r="A167" s="6"/>
      <c r="B167" s="8"/>
      <c r="E167" s="6"/>
      <c r="F167" s="6"/>
      <c r="G167" s="8"/>
      <c r="J167" s="5"/>
      <c r="K167" s="7"/>
      <c r="L167" s="6"/>
      <c r="M167" s="5"/>
    </row>
    <row r="168" spans="1:13" x14ac:dyDescent="0.55000000000000004">
      <c r="A168" s="6"/>
      <c r="B168" s="8"/>
      <c r="E168" s="6"/>
      <c r="F168" s="6"/>
      <c r="G168" s="8"/>
      <c r="J168" s="5"/>
      <c r="K168" s="7"/>
      <c r="L168" s="6"/>
      <c r="M168" s="5"/>
    </row>
    <row r="169" spans="1:13" x14ac:dyDescent="0.55000000000000004">
      <c r="A169" s="6"/>
      <c r="B169" s="8"/>
      <c r="E169" s="6"/>
      <c r="F169" s="6"/>
      <c r="G169" s="8"/>
      <c r="J169" s="5"/>
      <c r="K169" s="7"/>
      <c r="L169" s="6"/>
      <c r="M169" s="5"/>
    </row>
    <row r="170" spans="1:13" x14ac:dyDescent="0.55000000000000004">
      <c r="A170" s="6"/>
      <c r="B170" s="8"/>
      <c r="E170" s="6"/>
      <c r="F170" s="6"/>
      <c r="G170" s="8"/>
      <c r="J170" s="5"/>
      <c r="K170" s="7"/>
      <c r="L170" s="6"/>
      <c r="M170" s="5"/>
    </row>
    <row r="171" spans="1:13" x14ac:dyDescent="0.55000000000000004">
      <c r="A171" s="6"/>
      <c r="B171" s="8"/>
      <c r="E171" s="6"/>
      <c r="F171" s="6"/>
      <c r="G171" s="8"/>
      <c r="J171" s="5"/>
      <c r="K171" s="7"/>
      <c r="L171" s="6"/>
      <c r="M171" s="5"/>
    </row>
    <row r="172" spans="1:13" x14ac:dyDescent="0.55000000000000004">
      <c r="A172" s="6"/>
      <c r="B172" s="8"/>
      <c r="E172" s="6"/>
      <c r="F172" s="6"/>
      <c r="G172" s="8"/>
      <c r="J172" s="5"/>
      <c r="K172" s="7"/>
      <c r="L172" s="6"/>
      <c r="M172" s="5"/>
    </row>
    <row r="173" spans="1:13" x14ac:dyDescent="0.55000000000000004">
      <c r="A173" s="6"/>
      <c r="B173" s="8"/>
      <c r="E173" s="6"/>
      <c r="F173" s="6"/>
      <c r="G173" s="8"/>
      <c r="J173" s="5"/>
      <c r="K173" s="7"/>
      <c r="L173" s="6"/>
      <c r="M173" s="5"/>
    </row>
    <row r="174" spans="1:13" x14ac:dyDescent="0.55000000000000004">
      <c r="A174" s="6"/>
      <c r="B174" s="8"/>
      <c r="E174" s="6"/>
      <c r="F174" s="6"/>
      <c r="G174" s="8"/>
      <c r="J174" s="5"/>
      <c r="K174" s="7"/>
      <c r="L174" s="6"/>
      <c r="M174" s="5"/>
    </row>
    <row r="175" spans="1:13" x14ac:dyDescent="0.55000000000000004">
      <c r="A175" s="6"/>
      <c r="B175" s="8"/>
      <c r="E175" s="6"/>
      <c r="F175" s="6"/>
      <c r="G175" s="8"/>
      <c r="J175" s="5"/>
      <c r="K175" s="7"/>
      <c r="L175" s="6"/>
      <c r="M175" s="5"/>
    </row>
    <row r="176" spans="1:13" x14ac:dyDescent="0.55000000000000004">
      <c r="A176" s="6"/>
      <c r="B176" s="8"/>
      <c r="E176" s="6"/>
      <c r="F176" s="6"/>
      <c r="G176" s="8"/>
      <c r="J176" s="5"/>
      <c r="K176" s="7"/>
      <c r="L176" s="6"/>
      <c r="M176" s="5"/>
    </row>
    <row r="177" spans="1:13" x14ac:dyDescent="0.55000000000000004">
      <c r="A177" s="6"/>
      <c r="B177" s="8"/>
      <c r="E177" s="6"/>
      <c r="F177" s="6"/>
      <c r="G177" s="8"/>
      <c r="J177" s="5"/>
      <c r="K177" s="7"/>
      <c r="L177" s="6"/>
      <c r="M177" s="5"/>
    </row>
    <row r="178" spans="1:13" x14ac:dyDescent="0.55000000000000004">
      <c r="A178" s="6"/>
      <c r="B178" s="8"/>
      <c r="E178" s="6"/>
      <c r="F178" s="6"/>
      <c r="G178" s="8"/>
      <c r="J178" s="5"/>
      <c r="K178" s="7"/>
      <c r="L178" s="6"/>
      <c r="M178" s="5"/>
    </row>
    <row r="179" spans="1:13" x14ac:dyDescent="0.55000000000000004">
      <c r="A179" s="6"/>
      <c r="B179" s="8"/>
      <c r="E179" s="6"/>
      <c r="F179" s="6"/>
      <c r="G179" s="8"/>
      <c r="J179" s="5"/>
      <c r="K179" s="7"/>
      <c r="L179" s="6"/>
      <c r="M179" s="5"/>
    </row>
    <row r="180" spans="1:13" x14ac:dyDescent="0.55000000000000004">
      <c r="A180" s="6"/>
      <c r="B180" s="8"/>
      <c r="E180" s="6"/>
      <c r="F180" s="6"/>
      <c r="G180" s="8"/>
      <c r="J180" s="5"/>
      <c r="K180" s="7"/>
      <c r="L180" s="6"/>
      <c r="M180" s="5"/>
    </row>
    <row r="181" spans="1:13" x14ac:dyDescent="0.55000000000000004">
      <c r="A181" s="6"/>
      <c r="B181" s="8"/>
      <c r="E181" s="6"/>
      <c r="F181" s="6"/>
      <c r="G181" s="8"/>
      <c r="J181" s="5"/>
      <c r="K181" s="7"/>
      <c r="L181" s="6"/>
      <c r="M181" s="5"/>
    </row>
    <row r="182" spans="1:13" x14ac:dyDescent="0.55000000000000004">
      <c r="A182" s="6"/>
      <c r="B182" s="8"/>
      <c r="E182" s="6"/>
      <c r="F182" s="6"/>
      <c r="G182" s="8"/>
      <c r="J182" s="5"/>
      <c r="K182" s="7"/>
      <c r="L182" s="6"/>
      <c r="M182" s="5"/>
    </row>
    <row r="183" spans="1:13" x14ac:dyDescent="0.55000000000000004">
      <c r="A183" s="6"/>
      <c r="B183" s="8"/>
      <c r="E183" s="6"/>
      <c r="F183" s="6"/>
      <c r="G183" s="8"/>
      <c r="J183" s="5"/>
      <c r="K183" s="7"/>
      <c r="L183" s="6"/>
      <c r="M183" s="5"/>
    </row>
    <row r="184" spans="1:13" x14ac:dyDescent="0.55000000000000004">
      <c r="A184" s="6"/>
      <c r="B184" s="8"/>
      <c r="E184" s="6"/>
      <c r="F184" s="6"/>
      <c r="G184" s="8"/>
      <c r="J184" s="5"/>
      <c r="K184" s="7"/>
      <c r="L184" s="6"/>
      <c r="M184" s="5"/>
    </row>
    <row r="185" spans="1:13" x14ac:dyDescent="0.55000000000000004">
      <c r="A185" s="6"/>
      <c r="B185" s="8"/>
      <c r="E185" s="6"/>
      <c r="F185" s="6"/>
      <c r="G185" s="8"/>
      <c r="J185" s="5"/>
      <c r="K185" s="7"/>
      <c r="L185" s="6"/>
      <c r="M185" s="5"/>
    </row>
    <row r="186" spans="1:13" x14ac:dyDescent="0.55000000000000004">
      <c r="A186" s="6"/>
      <c r="B186" s="8"/>
      <c r="E186" s="6"/>
      <c r="F186" s="6"/>
      <c r="G186" s="8"/>
      <c r="J186" s="5"/>
      <c r="K186" s="7"/>
      <c r="L186" s="6"/>
      <c r="M186" s="5"/>
    </row>
    <row r="187" spans="1:13" x14ac:dyDescent="0.55000000000000004">
      <c r="A187" s="6"/>
      <c r="B187" s="8"/>
      <c r="E187" s="6"/>
      <c r="F187" s="6"/>
      <c r="G187" s="8"/>
      <c r="J187" s="5"/>
      <c r="K187" s="7"/>
      <c r="L187" s="6"/>
      <c r="M187" s="5"/>
    </row>
    <row r="188" spans="1:13" x14ac:dyDescent="0.55000000000000004">
      <c r="A188" s="6"/>
      <c r="B188" s="8"/>
      <c r="E188" s="6"/>
      <c r="F188" s="6"/>
      <c r="G188" s="8"/>
      <c r="J188" s="5"/>
      <c r="K188" s="7"/>
      <c r="L188" s="6"/>
      <c r="M188" s="5"/>
    </row>
    <row r="189" spans="1:13" x14ac:dyDescent="0.55000000000000004">
      <c r="A189" s="6"/>
      <c r="B189" s="8"/>
      <c r="E189" s="6"/>
      <c r="F189" s="6"/>
      <c r="G189" s="8"/>
      <c r="J189" s="5"/>
      <c r="K189" s="7"/>
      <c r="L189" s="6"/>
      <c r="M189" s="5"/>
    </row>
    <row r="190" spans="1:13" x14ac:dyDescent="0.55000000000000004">
      <c r="A190" s="6"/>
      <c r="B190" s="8"/>
      <c r="E190" s="6"/>
      <c r="F190" s="6"/>
      <c r="G190" s="8"/>
      <c r="J190" s="5"/>
      <c r="K190" s="7"/>
      <c r="L190" s="6"/>
      <c r="M190" s="5"/>
    </row>
    <row r="191" spans="1:13" x14ac:dyDescent="0.55000000000000004">
      <c r="A191" s="6"/>
      <c r="B191" s="8"/>
      <c r="E191" s="6"/>
      <c r="F191" s="6"/>
      <c r="G191" s="8"/>
      <c r="J191" s="5"/>
      <c r="K191" s="7"/>
      <c r="L191" s="6"/>
      <c r="M191" s="5"/>
    </row>
    <row r="192" spans="1:13" x14ac:dyDescent="0.55000000000000004">
      <c r="A192" s="6"/>
      <c r="B192" s="8"/>
      <c r="E192" s="6"/>
      <c r="F192" s="6"/>
      <c r="G192" s="8"/>
      <c r="J192" s="5"/>
      <c r="K192" s="7"/>
      <c r="L192" s="6"/>
      <c r="M192" s="5"/>
    </row>
    <row r="193" spans="1:13" x14ac:dyDescent="0.55000000000000004">
      <c r="A193" s="6"/>
      <c r="B193" s="8"/>
      <c r="E193" s="6"/>
      <c r="F193" s="6"/>
      <c r="G193" s="8"/>
      <c r="J193" s="5"/>
      <c r="K193" s="7"/>
      <c r="L193" s="6"/>
      <c r="M193" s="5"/>
    </row>
    <row r="194" spans="1:13" x14ac:dyDescent="0.55000000000000004">
      <c r="A194" s="6"/>
      <c r="B194" s="8"/>
      <c r="E194" s="6"/>
      <c r="F194" s="6"/>
      <c r="G194" s="8"/>
      <c r="J194" s="5"/>
      <c r="K194" s="7"/>
      <c r="L194" s="6"/>
      <c r="M194" s="5"/>
    </row>
    <row r="195" spans="1:13" x14ac:dyDescent="0.55000000000000004">
      <c r="A195" s="6"/>
      <c r="B195" s="8"/>
      <c r="E195" s="6"/>
      <c r="F195" s="6"/>
      <c r="G195" s="8"/>
      <c r="J195" s="5"/>
      <c r="K195" s="7"/>
      <c r="L195" s="6"/>
      <c r="M195" s="5"/>
    </row>
    <row r="196" spans="1:13" x14ac:dyDescent="0.55000000000000004">
      <c r="A196" s="6"/>
      <c r="B196" s="8"/>
      <c r="E196" s="6"/>
      <c r="F196" s="6"/>
      <c r="G196" s="8"/>
      <c r="J196" s="5"/>
      <c r="K196" s="7"/>
      <c r="L196" s="6"/>
      <c r="M196" s="5"/>
    </row>
    <row r="197" spans="1:13" x14ac:dyDescent="0.55000000000000004">
      <c r="A197" s="6"/>
      <c r="B197" s="8"/>
      <c r="E197" s="6"/>
      <c r="F197" s="6"/>
      <c r="G197" s="8"/>
      <c r="J197" s="5"/>
      <c r="K197" s="7"/>
      <c r="L197" s="6"/>
      <c r="M197" s="5"/>
    </row>
    <row r="198" spans="1:13" x14ac:dyDescent="0.55000000000000004">
      <c r="A198" s="6"/>
      <c r="B198" s="8"/>
      <c r="E198" s="6"/>
      <c r="F198" s="6"/>
      <c r="G198" s="8"/>
      <c r="J198" s="5"/>
      <c r="K198" s="7"/>
      <c r="L198" s="6"/>
      <c r="M198" s="5"/>
    </row>
    <row r="199" spans="1:13" x14ac:dyDescent="0.55000000000000004">
      <c r="A199" s="6"/>
      <c r="B199" s="8"/>
      <c r="E199" s="6"/>
      <c r="F199" s="6"/>
      <c r="G199" s="8"/>
      <c r="J199" s="5"/>
      <c r="K199" s="7"/>
      <c r="L199" s="6"/>
      <c r="M199" s="5"/>
    </row>
    <row r="200" spans="1:13" x14ac:dyDescent="0.55000000000000004">
      <c r="A200" s="6"/>
      <c r="B200" s="8"/>
      <c r="E200" s="6"/>
      <c r="F200" s="6"/>
      <c r="G200" s="8"/>
      <c r="J200" s="5"/>
      <c r="K200" s="7"/>
      <c r="L200" s="6"/>
      <c r="M200" s="5"/>
    </row>
    <row r="201" spans="1:13" x14ac:dyDescent="0.55000000000000004">
      <c r="A201" s="6"/>
      <c r="B201" s="8"/>
      <c r="E201" s="6"/>
      <c r="F201" s="6"/>
      <c r="G201" s="8"/>
      <c r="J201" s="5"/>
      <c r="K201" s="7"/>
      <c r="L201" s="6"/>
      <c r="M201" s="5"/>
    </row>
    <row r="202" spans="1:13" x14ac:dyDescent="0.55000000000000004">
      <c r="A202" s="6"/>
      <c r="B202" s="8"/>
      <c r="E202" s="6"/>
      <c r="F202" s="6"/>
      <c r="G202" s="8"/>
      <c r="J202" s="5"/>
      <c r="K202" s="7"/>
      <c r="L202" s="6"/>
      <c r="M202" s="5"/>
    </row>
    <row r="203" spans="1:13" x14ac:dyDescent="0.55000000000000004">
      <c r="A203" s="6"/>
      <c r="B203" s="8"/>
      <c r="E203" s="6"/>
      <c r="F203" s="6"/>
      <c r="G203" s="8"/>
      <c r="J203" s="5"/>
      <c r="K203" s="7"/>
      <c r="L203" s="6"/>
      <c r="M203" s="5"/>
    </row>
    <row r="204" spans="1:13" x14ac:dyDescent="0.55000000000000004">
      <c r="A204" s="6"/>
      <c r="B204" s="8"/>
      <c r="E204" s="6"/>
      <c r="F204" s="6"/>
      <c r="G204" s="8"/>
      <c r="J204" s="5"/>
      <c r="K204" s="7"/>
      <c r="L204" s="6"/>
      <c r="M204" s="5"/>
    </row>
    <row r="205" spans="1:13" x14ac:dyDescent="0.55000000000000004">
      <c r="A205" s="6"/>
      <c r="B205" s="8"/>
      <c r="E205" s="6"/>
      <c r="F205" s="6"/>
      <c r="G205" s="8"/>
      <c r="J205" s="5"/>
      <c r="K205" s="7"/>
      <c r="L205" s="6"/>
      <c r="M205" s="5"/>
    </row>
    <row r="206" spans="1:13" x14ac:dyDescent="0.55000000000000004">
      <c r="A206" s="6"/>
      <c r="B206" s="8"/>
      <c r="E206" s="6"/>
      <c r="F206" s="6"/>
      <c r="G206" s="8"/>
      <c r="J206" s="5"/>
      <c r="K206" s="7"/>
      <c r="L206" s="6"/>
      <c r="M206" s="5"/>
    </row>
    <row r="207" spans="1:13" x14ac:dyDescent="0.55000000000000004">
      <c r="A207" s="6"/>
      <c r="B207" s="8"/>
      <c r="E207" s="6"/>
      <c r="F207" s="6"/>
      <c r="G207" s="8"/>
      <c r="J207" s="5"/>
      <c r="K207" s="7"/>
      <c r="L207" s="6"/>
      <c r="M207" s="5"/>
    </row>
    <row r="208" spans="1:13" x14ac:dyDescent="0.55000000000000004">
      <c r="A208" s="6"/>
      <c r="B208" s="8"/>
      <c r="E208" s="6"/>
      <c r="F208" s="6"/>
      <c r="G208" s="8"/>
      <c r="J208" s="5"/>
      <c r="K208" s="7"/>
      <c r="L208" s="6"/>
      <c r="M208" s="5"/>
    </row>
    <row r="209" spans="1:13" x14ac:dyDescent="0.55000000000000004">
      <c r="A209" s="6"/>
      <c r="B209" s="8"/>
      <c r="E209" s="6"/>
      <c r="F209" s="6"/>
      <c r="G209" s="8"/>
      <c r="J209" s="5"/>
      <c r="K209" s="7"/>
      <c r="L209" s="6"/>
      <c r="M209" s="5"/>
    </row>
    <row r="210" spans="1:13" x14ac:dyDescent="0.55000000000000004">
      <c r="A210" s="6"/>
      <c r="B210" s="8"/>
      <c r="E210" s="6"/>
      <c r="F210" s="6"/>
      <c r="G210" s="8"/>
      <c r="J210" s="5"/>
      <c r="K210" s="7"/>
      <c r="L210" s="6"/>
      <c r="M210" s="5"/>
    </row>
    <row r="211" spans="1:13" x14ac:dyDescent="0.55000000000000004">
      <c r="A211" s="6"/>
      <c r="B211" s="8"/>
      <c r="E211" s="6"/>
      <c r="F211" s="6"/>
      <c r="G211" s="8"/>
      <c r="J211" s="5"/>
      <c r="K211" s="7"/>
      <c r="L211" s="6"/>
      <c r="M211" s="5"/>
    </row>
    <row r="212" spans="1:13" x14ac:dyDescent="0.55000000000000004">
      <c r="A212" s="6"/>
      <c r="B212" s="8"/>
      <c r="E212" s="6"/>
      <c r="F212" s="6"/>
      <c r="G212" s="8"/>
      <c r="J212" s="5"/>
      <c r="K212" s="7"/>
      <c r="L212" s="6"/>
      <c r="M212" s="5"/>
    </row>
    <row r="213" spans="1:13" x14ac:dyDescent="0.55000000000000004">
      <c r="A213" s="6"/>
      <c r="B213" s="8"/>
      <c r="E213" s="6"/>
      <c r="F213" s="6"/>
      <c r="G213" s="8"/>
      <c r="J213" s="5"/>
      <c r="K213" s="7"/>
      <c r="L213" s="6"/>
      <c r="M213" s="5"/>
    </row>
    <row r="214" spans="1:13" x14ac:dyDescent="0.55000000000000004">
      <c r="A214" s="6"/>
      <c r="B214" s="8"/>
      <c r="E214" s="6"/>
      <c r="F214" s="6"/>
      <c r="G214" s="8"/>
      <c r="J214" s="5"/>
      <c r="K214" s="7"/>
      <c r="L214" s="6"/>
      <c r="M214" s="5"/>
    </row>
    <row r="215" spans="1:13" x14ac:dyDescent="0.55000000000000004">
      <c r="A215" s="6"/>
      <c r="B215" s="8"/>
      <c r="E215" s="6"/>
      <c r="F215" s="6"/>
      <c r="G215" s="8"/>
      <c r="J215" s="5"/>
      <c r="K215" s="7"/>
      <c r="L215" s="6"/>
      <c r="M215" s="5"/>
    </row>
    <row r="216" spans="1:13" x14ac:dyDescent="0.55000000000000004">
      <c r="A216" s="6"/>
      <c r="B216" s="8"/>
      <c r="E216" s="6"/>
      <c r="F216" s="6"/>
      <c r="G216" s="8"/>
      <c r="J216" s="5"/>
      <c r="K216" s="7"/>
      <c r="L216" s="6"/>
      <c r="M216" s="5"/>
    </row>
    <row r="217" spans="1:13" x14ac:dyDescent="0.55000000000000004">
      <c r="A217" s="6"/>
      <c r="B217" s="8"/>
      <c r="E217" s="6"/>
      <c r="F217" s="6"/>
      <c r="G217" s="8"/>
      <c r="J217" s="5"/>
      <c r="K217" s="7"/>
      <c r="L217" s="6"/>
      <c r="M217" s="5"/>
    </row>
    <row r="218" spans="1:13" x14ac:dyDescent="0.55000000000000004">
      <c r="A218" s="6"/>
      <c r="B218" s="8"/>
      <c r="E218" s="6"/>
      <c r="F218" s="6"/>
      <c r="G218" s="8"/>
      <c r="J218" s="5"/>
      <c r="K218" s="7"/>
      <c r="L218" s="6"/>
      <c r="M218" s="5"/>
    </row>
    <row r="219" spans="1:13" x14ac:dyDescent="0.55000000000000004">
      <c r="A219" s="6"/>
      <c r="B219" s="8"/>
      <c r="E219" s="6"/>
      <c r="F219" s="6"/>
      <c r="G219" s="8"/>
      <c r="J219" s="5"/>
      <c r="K219" s="7"/>
      <c r="L219" s="6"/>
      <c r="M219" s="5"/>
    </row>
    <row r="220" spans="1:13" x14ac:dyDescent="0.55000000000000004">
      <c r="A220" s="6"/>
      <c r="B220" s="8"/>
      <c r="E220" s="6"/>
      <c r="F220" s="6"/>
      <c r="G220" s="8"/>
      <c r="J220" s="5"/>
      <c r="K220" s="7"/>
      <c r="L220" s="6"/>
      <c r="M220" s="5"/>
    </row>
    <row r="221" spans="1:13" x14ac:dyDescent="0.55000000000000004">
      <c r="A221" s="6"/>
      <c r="B221" s="8"/>
      <c r="E221" s="6"/>
      <c r="F221" s="6"/>
      <c r="G221" s="8"/>
      <c r="J221" s="5"/>
      <c r="K221" s="7"/>
      <c r="L221" s="6"/>
      <c r="M221" s="5"/>
    </row>
    <row r="222" spans="1:13" x14ac:dyDescent="0.55000000000000004">
      <c r="A222" s="6"/>
      <c r="B222" s="8"/>
      <c r="E222" s="6"/>
      <c r="F222" s="6"/>
      <c r="G222" s="8"/>
      <c r="J222" s="5"/>
      <c r="K222" s="7"/>
      <c r="L222" s="6"/>
      <c r="M222" s="5"/>
    </row>
    <row r="223" spans="1:13" x14ac:dyDescent="0.55000000000000004">
      <c r="A223" s="6"/>
      <c r="B223" s="8"/>
      <c r="E223" s="6"/>
      <c r="F223" s="6"/>
      <c r="G223" s="8"/>
      <c r="J223" s="5"/>
      <c r="K223" s="7"/>
      <c r="L223" s="6"/>
      <c r="M223" s="5"/>
    </row>
    <row r="224" spans="1:13" x14ac:dyDescent="0.55000000000000004">
      <c r="A224" s="6"/>
      <c r="B224" s="8"/>
      <c r="E224" s="6"/>
      <c r="F224" s="6"/>
      <c r="G224" s="8"/>
      <c r="J224" s="5"/>
      <c r="K224" s="7"/>
      <c r="L224" s="6"/>
      <c r="M224" s="5"/>
    </row>
    <row r="225" spans="1:13" x14ac:dyDescent="0.55000000000000004">
      <c r="A225" s="6"/>
      <c r="B225" s="8"/>
      <c r="E225" s="6"/>
      <c r="F225" s="6"/>
      <c r="G225" s="8"/>
      <c r="J225" s="5"/>
      <c r="K225" s="7"/>
      <c r="L225" s="6"/>
      <c r="M225" s="5"/>
    </row>
    <row r="226" spans="1:13" x14ac:dyDescent="0.55000000000000004">
      <c r="A226" s="6"/>
      <c r="B226" s="8"/>
      <c r="E226" s="6"/>
      <c r="F226" s="6"/>
      <c r="G226" s="8"/>
      <c r="J226" s="5"/>
      <c r="K226" s="7"/>
      <c r="L226" s="6"/>
      <c r="M226" s="5"/>
    </row>
    <row r="227" spans="1:13" x14ac:dyDescent="0.55000000000000004">
      <c r="A227" s="6"/>
      <c r="B227" s="8"/>
      <c r="E227" s="6"/>
      <c r="F227" s="6"/>
      <c r="G227" s="8"/>
      <c r="J227" s="5"/>
      <c r="K227" s="7"/>
      <c r="L227" s="6"/>
      <c r="M227" s="5"/>
    </row>
    <row r="228" spans="1:13" x14ac:dyDescent="0.55000000000000004">
      <c r="A228" s="6"/>
      <c r="B228" s="8"/>
      <c r="E228" s="6"/>
      <c r="F228" s="6"/>
      <c r="G228" s="8"/>
      <c r="J228" s="5"/>
      <c r="K228" s="7"/>
      <c r="L228" s="6"/>
      <c r="M228" s="5"/>
    </row>
    <row r="229" spans="1:13" x14ac:dyDescent="0.55000000000000004">
      <c r="A229" s="6"/>
      <c r="B229" s="8"/>
      <c r="E229" s="6"/>
      <c r="F229" s="6"/>
      <c r="G229" s="8"/>
      <c r="J229" s="5"/>
      <c r="K229" s="7"/>
      <c r="L229" s="6"/>
      <c r="M229" s="5"/>
    </row>
    <row r="230" spans="1:13" x14ac:dyDescent="0.55000000000000004">
      <c r="A230" s="6"/>
      <c r="B230" s="8"/>
      <c r="E230" s="6"/>
      <c r="F230" s="6"/>
      <c r="G230" s="8"/>
      <c r="J230" s="5"/>
      <c r="K230" s="7"/>
      <c r="L230" s="6"/>
      <c r="M230" s="5"/>
    </row>
    <row r="231" spans="1:13" x14ac:dyDescent="0.55000000000000004">
      <c r="A231" s="6"/>
      <c r="B231" s="8"/>
      <c r="E231" s="6"/>
      <c r="F231" s="6"/>
      <c r="G231" s="8"/>
      <c r="J231" s="5"/>
      <c r="K231" s="7"/>
      <c r="L231" s="6"/>
      <c r="M231" s="5"/>
    </row>
    <row r="232" spans="1:13" x14ac:dyDescent="0.55000000000000004">
      <c r="A232" s="6"/>
      <c r="B232" s="8"/>
      <c r="E232" s="6"/>
      <c r="F232" s="6"/>
      <c r="G232" s="8"/>
      <c r="J232" s="5"/>
      <c r="K232" s="7"/>
      <c r="L232" s="6"/>
      <c r="M232" s="5"/>
    </row>
    <row r="233" spans="1:13" x14ac:dyDescent="0.55000000000000004">
      <c r="A233" s="6"/>
      <c r="B233" s="8"/>
      <c r="E233" s="6"/>
      <c r="F233" s="6"/>
      <c r="G233" s="8"/>
      <c r="J233" s="5"/>
      <c r="K233" s="7"/>
      <c r="L233" s="6"/>
      <c r="M233" s="5"/>
    </row>
    <row r="234" spans="1:13" x14ac:dyDescent="0.55000000000000004">
      <c r="A234" s="6"/>
      <c r="B234" s="8"/>
      <c r="E234" s="6"/>
      <c r="F234" s="6"/>
      <c r="G234" s="8"/>
      <c r="J234" s="5"/>
      <c r="K234" s="7"/>
      <c r="L234" s="6"/>
      <c r="M234" s="5"/>
    </row>
    <row r="235" spans="1:13" x14ac:dyDescent="0.55000000000000004">
      <c r="A235" s="6"/>
      <c r="B235" s="8"/>
      <c r="E235" s="6"/>
      <c r="F235" s="6"/>
      <c r="G235" s="8"/>
      <c r="J235" s="5"/>
      <c r="K235" s="7"/>
      <c r="L235" s="6"/>
      <c r="M235" s="5"/>
    </row>
    <row r="236" spans="1:13" x14ac:dyDescent="0.55000000000000004">
      <c r="A236" s="6"/>
      <c r="B236" s="8"/>
      <c r="E236" s="6"/>
      <c r="F236" s="6"/>
      <c r="G236" s="8"/>
      <c r="J236" s="5"/>
      <c r="K236" s="7"/>
      <c r="L236" s="6"/>
      <c r="M236" s="5"/>
    </row>
    <row r="237" spans="1:13" x14ac:dyDescent="0.55000000000000004">
      <c r="A237" s="6"/>
      <c r="B237" s="8"/>
      <c r="E237" s="6"/>
      <c r="F237" s="6"/>
      <c r="G237" s="8"/>
      <c r="J237" s="5"/>
      <c r="K237" s="7"/>
      <c r="L237" s="6"/>
      <c r="M237" s="5"/>
    </row>
    <row r="238" spans="1:13" x14ac:dyDescent="0.55000000000000004">
      <c r="A238" s="6"/>
      <c r="B238" s="8"/>
      <c r="E238" s="6"/>
      <c r="F238" s="6"/>
      <c r="G238" s="8"/>
      <c r="J238" s="5"/>
      <c r="K238" s="7"/>
      <c r="L238" s="6"/>
      <c r="M238" s="5"/>
    </row>
    <row r="239" spans="1:13" x14ac:dyDescent="0.55000000000000004">
      <c r="A239" s="6"/>
      <c r="B239" s="8"/>
      <c r="E239" s="6"/>
      <c r="F239" s="6"/>
      <c r="G239" s="8"/>
      <c r="J239" s="5"/>
      <c r="K239" s="7"/>
      <c r="L239" s="6"/>
      <c r="M239" s="5"/>
    </row>
    <row r="240" spans="1:13" x14ac:dyDescent="0.55000000000000004">
      <c r="A240" s="6"/>
      <c r="B240" s="8"/>
      <c r="E240" s="6"/>
      <c r="F240" s="6"/>
      <c r="G240" s="8"/>
      <c r="J240" s="5"/>
      <c r="K240" s="7"/>
      <c r="L240" s="6"/>
      <c r="M240" s="5"/>
    </row>
    <row r="241" spans="1:13" x14ac:dyDescent="0.55000000000000004">
      <c r="A241" s="6"/>
      <c r="B241" s="8"/>
      <c r="E241" s="6"/>
      <c r="F241" s="6"/>
      <c r="G241" s="8"/>
      <c r="J241" s="5"/>
      <c r="K241" s="7"/>
      <c r="L241" s="6"/>
      <c r="M241" s="5"/>
    </row>
    <row r="242" spans="1:13" x14ac:dyDescent="0.55000000000000004">
      <c r="A242" s="6"/>
      <c r="B242" s="8"/>
      <c r="E242" s="6"/>
      <c r="F242" s="6"/>
      <c r="G242" s="8"/>
      <c r="J242" s="5"/>
      <c r="K242" s="7"/>
      <c r="L242" s="6"/>
      <c r="M242" s="5"/>
    </row>
    <row r="243" spans="1:13" x14ac:dyDescent="0.55000000000000004">
      <c r="A243" s="6"/>
      <c r="B243" s="8"/>
      <c r="E243" s="6"/>
      <c r="F243" s="6"/>
      <c r="G243" s="8"/>
      <c r="J243" s="5"/>
      <c r="K243" s="7"/>
      <c r="L243" s="6"/>
      <c r="M243" s="5"/>
    </row>
    <row r="244" spans="1:13" x14ac:dyDescent="0.55000000000000004">
      <c r="A244" s="6"/>
      <c r="B244" s="8"/>
      <c r="E244" s="6"/>
      <c r="F244" s="6"/>
      <c r="G244" s="8"/>
      <c r="J244" s="5"/>
      <c r="K244" s="7"/>
      <c r="L244" s="6"/>
      <c r="M244" s="5"/>
    </row>
    <row r="245" spans="1:13" x14ac:dyDescent="0.55000000000000004">
      <c r="A245" s="6"/>
      <c r="B245" s="8"/>
      <c r="E245" s="6"/>
      <c r="F245" s="6"/>
      <c r="G245" s="8"/>
      <c r="J245" s="5"/>
      <c r="K245" s="7"/>
      <c r="L245" s="6"/>
      <c r="M245" s="5"/>
    </row>
    <row r="246" spans="1:13" x14ac:dyDescent="0.55000000000000004">
      <c r="A246" s="6"/>
      <c r="B246" s="8"/>
      <c r="E246" s="6"/>
      <c r="F246" s="6"/>
      <c r="G246" s="8"/>
      <c r="J246" s="5"/>
      <c r="K246" s="7"/>
      <c r="L246" s="6"/>
      <c r="M246" s="5"/>
    </row>
    <row r="247" spans="1:13" x14ac:dyDescent="0.55000000000000004">
      <c r="A247" s="6"/>
      <c r="B247" s="8"/>
      <c r="E247" s="6"/>
      <c r="F247" s="6"/>
      <c r="G247" s="8"/>
      <c r="J247" s="5"/>
      <c r="K247" s="7"/>
      <c r="L247" s="6"/>
      <c r="M247" s="5"/>
    </row>
    <row r="248" spans="1:13" x14ac:dyDescent="0.55000000000000004">
      <c r="A248" s="6"/>
      <c r="B248" s="8"/>
      <c r="E248" s="6"/>
      <c r="F248" s="6"/>
      <c r="G248" s="8"/>
      <c r="J248" s="5"/>
      <c r="K248" s="7"/>
      <c r="L248" s="6"/>
      <c r="M248" s="5"/>
    </row>
    <row r="249" spans="1:13" x14ac:dyDescent="0.55000000000000004">
      <c r="A249" s="6"/>
      <c r="B249" s="8"/>
      <c r="E249" s="6"/>
      <c r="F249" s="6"/>
      <c r="G249" s="8"/>
      <c r="J249" s="5"/>
      <c r="K249" s="7"/>
      <c r="L249" s="6"/>
      <c r="M249" s="5"/>
    </row>
    <row r="250" spans="1:13" x14ac:dyDescent="0.55000000000000004">
      <c r="A250" s="6"/>
      <c r="B250" s="8"/>
      <c r="E250" s="6"/>
      <c r="F250" s="6"/>
      <c r="G250" s="8"/>
      <c r="J250" s="5"/>
      <c r="K250" s="7"/>
      <c r="L250" s="6"/>
      <c r="M250" s="5"/>
    </row>
    <row r="251" spans="1:13" x14ac:dyDescent="0.55000000000000004">
      <c r="A251" s="6"/>
      <c r="B251" s="8"/>
      <c r="E251" s="6"/>
      <c r="F251" s="6"/>
      <c r="G251" s="8"/>
      <c r="J251" s="5"/>
      <c r="K251" s="7"/>
      <c r="L251" s="6"/>
      <c r="M251" s="5"/>
    </row>
    <row r="252" spans="1:13" x14ac:dyDescent="0.55000000000000004">
      <c r="A252" s="6"/>
      <c r="B252" s="8"/>
      <c r="E252" s="6"/>
      <c r="F252" s="6"/>
      <c r="G252" s="8"/>
      <c r="J252" s="5"/>
      <c r="K252" s="7"/>
      <c r="L252" s="6"/>
      <c r="M252" s="5"/>
    </row>
    <row r="253" spans="1:13" x14ac:dyDescent="0.55000000000000004">
      <c r="A253" s="6"/>
      <c r="B253" s="8"/>
      <c r="E253" s="6"/>
      <c r="F253" s="6"/>
      <c r="G253" s="8"/>
      <c r="J253" s="5"/>
      <c r="K253" s="7"/>
      <c r="L253" s="6"/>
      <c r="M253" s="5"/>
    </row>
    <row r="254" spans="1:13" x14ac:dyDescent="0.55000000000000004">
      <c r="A254" s="6"/>
      <c r="B254" s="8"/>
      <c r="E254" s="6"/>
      <c r="F254" s="6"/>
      <c r="G254" s="8"/>
      <c r="J254" s="5"/>
      <c r="K254" s="7"/>
      <c r="L254" s="6"/>
      <c r="M254" s="5"/>
    </row>
    <row r="255" spans="1:13" x14ac:dyDescent="0.55000000000000004">
      <c r="A255" s="6"/>
      <c r="B255" s="8"/>
      <c r="E255" s="6"/>
      <c r="F255" s="6"/>
      <c r="G255" s="8"/>
      <c r="J255" s="5"/>
      <c r="K255" s="7"/>
      <c r="L255" s="6"/>
      <c r="M255" s="5"/>
    </row>
    <row r="256" spans="1:13" x14ac:dyDescent="0.55000000000000004">
      <c r="A256" s="6"/>
      <c r="B256" s="8"/>
      <c r="E256" s="6"/>
      <c r="F256" s="6"/>
      <c r="G256" s="8"/>
      <c r="J256" s="5"/>
      <c r="K256" s="7"/>
      <c r="L256" s="6"/>
      <c r="M256" s="5"/>
    </row>
    <row r="257" spans="1:13" x14ac:dyDescent="0.55000000000000004">
      <c r="A257" s="6"/>
      <c r="B257" s="8"/>
      <c r="E257" s="6"/>
      <c r="F257" s="6"/>
      <c r="G257" s="8"/>
      <c r="J257" s="5"/>
      <c r="K257" s="7"/>
      <c r="L257" s="6"/>
      <c r="M257" s="5"/>
    </row>
    <row r="258" spans="1:13" x14ac:dyDescent="0.55000000000000004">
      <c r="A258" s="6"/>
      <c r="B258" s="8"/>
      <c r="E258" s="6"/>
      <c r="F258" s="6"/>
      <c r="G258" s="8"/>
      <c r="J258" s="5"/>
      <c r="K258" s="7"/>
      <c r="L258" s="6"/>
      <c r="M258" s="5"/>
    </row>
    <row r="259" spans="1:13" x14ac:dyDescent="0.55000000000000004">
      <c r="A259" s="6"/>
      <c r="B259" s="8"/>
      <c r="E259" s="6"/>
      <c r="F259" s="6"/>
      <c r="G259" s="8"/>
      <c r="J259" s="5"/>
      <c r="K259" s="7"/>
      <c r="L259" s="6"/>
      <c r="M259" s="5"/>
    </row>
    <row r="260" spans="1:13" x14ac:dyDescent="0.55000000000000004">
      <c r="A260" s="6"/>
      <c r="B260" s="8"/>
      <c r="E260" s="6"/>
      <c r="F260" s="6"/>
      <c r="G260" s="8"/>
      <c r="J260" s="5"/>
      <c r="K260" s="7"/>
      <c r="L260" s="6"/>
      <c r="M260" s="5"/>
    </row>
    <row r="261" spans="1:13" x14ac:dyDescent="0.55000000000000004">
      <c r="A261" s="6"/>
      <c r="B261" s="8"/>
      <c r="E261" s="6"/>
      <c r="F261" s="6"/>
      <c r="G261" s="8"/>
      <c r="J261" s="5"/>
      <c r="K261" s="7"/>
      <c r="L261" s="6"/>
      <c r="M261" s="5"/>
    </row>
    <row r="262" spans="1:13" x14ac:dyDescent="0.55000000000000004">
      <c r="A262" s="6"/>
      <c r="B262" s="8"/>
      <c r="E262" s="6"/>
      <c r="F262" s="6"/>
      <c r="G262" s="8"/>
      <c r="J262" s="5"/>
      <c r="K262" s="7"/>
      <c r="L262" s="6"/>
      <c r="M262" s="5"/>
    </row>
    <row r="263" spans="1:13" x14ac:dyDescent="0.55000000000000004">
      <c r="A263" s="6"/>
      <c r="B263" s="8"/>
      <c r="E263" s="6"/>
      <c r="F263" s="6"/>
      <c r="G263" s="8"/>
      <c r="J263" s="5"/>
      <c r="K263" s="7"/>
      <c r="L263" s="6"/>
      <c r="M263" s="5"/>
    </row>
    <row r="264" spans="1:13" x14ac:dyDescent="0.55000000000000004">
      <c r="A264" s="6"/>
      <c r="B264" s="8"/>
      <c r="E264" s="6"/>
      <c r="F264" s="6"/>
      <c r="G264" s="8"/>
      <c r="J264" s="5"/>
      <c r="K264" s="7"/>
      <c r="L264" s="6"/>
      <c r="M264" s="5"/>
    </row>
    <row r="265" spans="1:13" x14ac:dyDescent="0.55000000000000004">
      <c r="A265" s="6"/>
      <c r="B265" s="8"/>
      <c r="E265" s="6"/>
      <c r="F265" s="6"/>
      <c r="G265" s="8"/>
      <c r="J265" s="5"/>
      <c r="K265" s="7"/>
      <c r="L265" s="6"/>
      <c r="M265" s="5"/>
    </row>
    <row r="266" spans="1:13" x14ac:dyDescent="0.55000000000000004">
      <c r="A266" s="6"/>
      <c r="B266" s="8"/>
      <c r="E266" s="6"/>
      <c r="F266" s="6"/>
      <c r="G266" s="8"/>
      <c r="J266" s="5"/>
      <c r="K266" s="7"/>
      <c r="L266" s="6"/>
      <c r="M266" s="5"/>
    </row>
    <row r="267" spans="1:13" x14ac:dyDescent="0.55000000000000004">
      <c r="A267" s="6"/>
      <c r="B267" s="8"/>
      <c r="E267" s="6"/>
      <c r="F267" s="6"/>
      <c r="G267" s="8"/>
      <c r="J267" s="5"/>
      <c r="K267" s="7"/>
      <c r="L267" s="6"/>
      <c r="M267" s="5"/>
    </row>
    <row r="268" spans="1:13" x14ac:dyDescent="0.55000000000000004">
      <c r="A268" s="6"/>
      <c r="B268" s="8"/>
      <c r="E268" s="6"/>
      <c r="F268" s="6"/>
      <c r="G268" s="8"/>
      <c r="J268" s="5"/>
      <c r="K268" s="7"/>
      <c r="L268" s="6"/>
      <c r="M268" s="5"/>
    </row>
    <row r="269" spans="1:13" x14ac:dyDescent="0.55000000000000004">
      <c r="A269" s="6"/>
      <c r="B269" s="8"/>
      <c r="E269" s="6"/>
      <c r="F269" s="6"/>
      <c r="G269" s="8"/>
      <c r="J269" s="5"/>
      <c r="K269" s="7"/>
      <c r="L269" s="6"/>
      <c r="M269" s="5"/>
    </row>
    <row r="270" spans="1:13" x14ac:dyDescent="0.55000000000000004">
      <c r="A270" s="6"/>
      <c r="B270" s="8"/>
      <c r="E270" s="6"/>
      <c r="F270" s="6"/>
      <c r="G270" s="8"/>
      <c r="J270" s="5"/>
      <c r="K270" s="7"/>
      <c r="L270" s="6"/>
      <c r="M270" s="5"/>
    </row>
    <row r="271" spans="1:13" x14ac:dyDescent="0.55000000000000004">
      <c r="A271" s="6"/>
      <c r="B271" s="8"/>
      <c r="E271" s="6"/>
      <c r="F271" s="6"/>
      <c r="G271" s="8"/>
      <c r="J271" s="5"/>
      <c r="K271" s="7"/>
      <c r="L271" s="6"/>
      <c r="M271" s="5"/>
    </row>
    <row r="272" spans="1:13" x14ac:dyDescent="0.55000000000000004">
      <c r="A272" s="6"/>
      <c r="B272" s="8"/>
      <c r="E272" s="6"/>
      <c r="F272" s="6"/>
      <c r="G272" s="8"/>
      <c r="J272" s="5"/>
      <c r="K272" s="7"/>
      <c r="L272" s="6"/>
      <c r="M272" s="5"/>
    </row>
    <row r="273" spans="1:13" x14ac:dyDescent="0.55000000000000004">
      <c r="A273" s="6"/>
      <c r="B273" s="8"/>
      <c r="E273" s="6"/>
      <c r="F273" s="6"/>
      <c r="G273" s="8"/>
      <c r="J273" s="5"/>
      <c r="K273" s="7"/>
      <c r="L273" s="6"/>
      <c r="M273" s="5"/>
    </row>
    <row r="274" spans="1:13" x14ac:dyDescent="0.55000000000000004">
      <c r="A274" s="6"/>
      <c r="B274" s="8"/>
      <c r="E274" s="6"/>
      <c r="F274" s="6"/>
      <c r="G274" s="8"/>
      <c r="J274" s="5"/>
      <c r="K274" s="7"/>
      <c r="L274" s="6"/>
      <c r="M274" s="5"/>
    </row>
    <row r="275" spans="1:13" x14ac:dyDescent="0.55000000000000004">
      <c r="A275" s="6"/>
      <c r="B275" s="8"/>
      <c r="E275" s="6"/>
      <c r="F275" s="6"/>
      <c r="G275" s="8"/>
      <c r="J275" s="5"/>
      <c r="K275" s="7"/>
      <c r="L275" s="6"/>
      <c r="M275" s="5"/>
    </row>
    <row r="276" spans="1:13" x14ac:dyDescent="0.55000000000000004">
      <c r="A276" s="6"/>
      <c r="B276" s="8"/>
      <c r="E276" s="6"/>
      <c r="F276" s="6"/>
      <c r="G276" s="8"/>
      <c r="J276" s="5"/>
      <c r="K276" s="7"/>
      <c r="L276" s="6"/>
      <c r="M276" s="5"/>
    </row>
    <row r="277" spans="1:13" x14ac:dyDescent="0.55000000000000004">
      <c r="A277" s="6"/>
      <c r="B277" s="8"/>
      <c r="E277" s="6"/>
      <c r="F277" s="6"/>
      <c r="G277" s="8"/>
      <c r="J277" s="5"/>
      <c r="K277" s="7"/>
      <c r="L277" s="6"/>
      <c r="M277" s="5"/>
    </row>
    <row r="278" spans="1:13" x14ac:dyDescent="0.55000000000000004">
      <c r="A278" s="6"/>
      <c r="B278" s="8"/>
      <c r="E278" s="6"/>
      <c r="F278" s="6"/>
      <c r="G278" s="8"/>
      <c r="J278" s="5"/>
      <c r="K278" s="7"/>
      <c r="L278" s="6"/>
      <c r="M278" s="5"/>
    </row>
    <row r="279" spans="1:13" x14ac:dyDescent="0.55000000000000004">
      <c r="A279" s="6"/>
      <c r="B279" s="8"/>
      <c r="E279" s="6"/>
      <c r="F279" s="6"/>
      <c r="G279" s="8"/>
      <c r="J279" s="5"/>
      <c r="K279" s="7"/>
      <c r="L279" s="6"/>
      <c r="M279" s="5"/>
    </row>
    <row r="280" spans="1:13" x14ac:dyDescent="0.55000000000000004">
      <c r="A280" s="6"/>
      <c r="B280" s="8"/>
      <c r="E280" s="6"/>
      <c r="F280" s="6"/>
      <c r="G280" s="8"/>
      <c r="J280" s="5"/>
      <c r="K280" s="7"/>
      <c r="L280" s="6"/>
      <c r="M280" s="5"/>
    </row>
    <row r="281" spans="1:13" x14ac:dyDescent="0.55000000000000004">
      <c r="A281" s="6"/>
      <c r="B281" s="8"/>
      <c r="E281" s="6"/>
      <c r="F281" s="6"/>
      <c r="G281" s="8"/>
      <c r="J281" s="5"/>
      <c r="K281" s="7"/>
      <c r="L281" s="6"/>
      <c r="M281" s="5"/>
    </row>
    <row r="282" spans="1:13" x14ac:dyDescent="0.55000000000000004">
      <c r="A282" s="6"/>
      <c r="B282" s="8"/>
      <c r="E282" s="6"/>
      <c r="F282" s="6"/>
      <c r="G282" s="8"/>
      <c r="J282" s="5"/>
      <c r="K282" s="7"/>
      <c r="L282" s="6"/>
      <c r="M282" s="5"/>
    </row>
    <row r="283" spans="1:13" x14ac:dyDescent="0.55000000000000004">
      <c r="A283" s="6"/>
      <c r="B283" s="8"/>
      <c r="E283" s="6"/>
      <c r="F283" s="6"/>
      <c r="G283" s="8"/>
      <c r="J283" s="5"/>
      <c r="K283" s="7"/>
      <c r="L283" s="6"/>
      <c r="M283" s="5"/>
    </row>
    <row r="284" spans="1:13" x14ac:dyDescent="0.55000000000000004">
      <c r="A284" s="6"/>
      <c r="B284" s="8"/>
      <c r="E284" s="6"/>
      <c r="F284" s="6"/>
      <c r="G284" s="8"/>
      <c r="J284" s="5"/>
      <c r="K284" s="7"/>
      <c r="L284" s="6"/>
      <c r="M284" s="5"/>
    </row>
    <row r="285" spans="1:13" x14ac:dyDescent="0.55000000000000004">
      <c r="A285" s="6"/>
      <c r="B285" s="8">
        <f>A285-10</f>
        <v>-10</v>
      </c>
      <c r="C285" s="1">
        <f>J285/10*10^-3</f>
        <v>0</v>
      </c>
      <c r="E285" s="6">
        <f>F285-J285/4.186</f>
        <v>0</v>
      </c>
      <c r="F285" s="6"/>
      <c r="G285" s="8">
        <f>18/(4.86*5)</f>
        <v>0.7407407407407407</v>
      </c>
      <c r="J285" s="5"/>
      <c r="K285" s="7">
        <f>J285-I285</f>
        <v>0</v>
      </c>
      <c r="L285" s="6"/>
      <c r="M285" s="5"/>
    </row>
    <row r="286" spans="1:13" x14ac:dyDescent="0.55000000000000004">
      <c r="A286" s="6"/>
      <c r="B286" s="8">
        <f>A286-10</f>
        <v>-10</v>
      </c>
      <c r="C286" s="1">
        <f>J286/10*10^-3</f>
        <v>0</v>
      </c>
      <c r="E286" s="6">
        <f>F286-J286/4.186</f>
        <v>0</v>
      </c>
      <c r="F286" s="6"/>
      <c r="G286" s="8">
        <f>18/(4.86*5)</f>
        <v>0.7407407407407407</v>
      </c>
      <c r="J286" s="5"/>
      <c r="K286" s="7">
        <f>J286-I286</f>
        <v>0</v>
      </c>
      <c r="L286" s="6"/>
      <c r="M286" s="5"/>
    </row>
    <row r="287" spans="1:13" x14ac:dyDescent="0.55000000000000004">
      <c r="A287" s="6"/>
      <c r="B287" s="8">
        <f>A287-10</f>
        <v>-10</v>
      </c>
      <c r="C287" s="1">
        <f>J287/10*10^-3</f>
        <v>0</v>
      </c>
      <c r="E287" s="6">
        <f>F287-J287/4.186</f>
        <v>0</v>
      </c>
      <c r="F287" s="6"/>
      <c r="G287" s="8">
        <f>18/(4.86*5)</f>
        <v>0.7407407407407407</v>
      </c>
      <c r="J287" s="5"/>
      <c r="K287" s="7">
        <f>J287-I287</f>
        <v>0</v>
      </c>
      <c r="L287" s="6"/>
      <c r="M287" s="5"/>
    </row>
    <row r="288" spans="1:13" x14ac:dyDescent="0.55000000000000004">
      <c r="A288" s="6"/>
      <c r="B288" s="8">
        <f>A288-10</f>
        <v>-10</v>
      </c>
      <c r="C288" s="1">
        <f>J288/10*10^-3</f>
        <v>0</v>
      </c>
      <c r="E288" s="6">
        <f>F288-J288/4.186</f>
        <v>0</v>
      </c>
      <c r="F288" s="6"/>
      <c r="G288" s="8">
        <f>18/(4.86*5)</f>
        <v>0.7407407407407407</v>
      </c>
      <c r="J288" s="5"/>
      <c r="K288" s="7">
        <f>J288-I288</f>
        <v>0</v>
      </c>
      <c r="L288" s="6"/>
      <c r="M288" s="5"/>
    </row>
    <row r="289" spans="1:13" x14ac:dyDescent="0.55000000000000004">
      <c r="A289" s="6"/>
      <c r="B289" s="8">
        <f>A289-10</f>
        <v>-10</v>
      </c>
      <c r="C289" s="1">
        <f>J289/10*10^-3</f>
        <v>0</v>
      </c>
      <c r="E289" s="6">
        <f>F289-J289/4.186</f>
        <v>0</v>
      </c>
      <c r="F289" s="6"/>
      <c r="G289" s="8">
        <f>18/(4.86*5)</f>
        <v>0.7407407407407407</v>
      </c>
      <c r="J289" s="5"/>
      <c r="K289" s="7">
        <f>J289-I289</f>
        <v>0</v>
      </c>
      <c r="L289" s="6"/>
      <c r="M289" s="5"/>
    </row>
    <row r="290" spans="1:13" x14ac:dyDescent="0.55000000000000004">
      <c r="A290" s="6"/>
      <c r="B290" s="8">
        <f>A290-10</f>
        <v>-10</v>
      </c>
      <c r="C290" s="1">
        <f>J290/10*10^-3</f>
        <v>0</v>
      </c>
      <c r="E290" s="6">
        <f>F290-J290/4.186</f>
        <v>0</v>
      </c>
      <c r="F290" s="6"/>
      <c r="G290" s="8">
        <f>18/(4.86*5)</f>
        <v>0.7407407407407407</v>
      </c>
      <c r="J290" s="5"/>
      <c r="K290" s="7">
        <f>J290-I290</f>
        <v>0</v>
      </c>
      <c r="L290" s="6"/>
      <c r="M290" s="5"/>
    </row>
    <row r="291" spans="1:13" x14ac:dyDescent="0.55000000000000004">
      <c r="A291" s="6"/>
      <c r="B291" s="8">
        <f>A291-10</f>
        <v>-10</v>
      </c>
      <c r="C291" s="1">
        <f>J291/10*10^-3</f>
        <v>0</v>
      </c>
      <c r="E291" s="6">
        <f>F291-J291/4.186</f>
        <v>0</v>
      </c>
      <c r="F291" s="6"/>
      <c r="G291" s="8">
        <f>18/(4.86*5)</f>
        <v>0.7407407407407407</v>
      </c>
      <c r="J291" s="5"/>
      <c r="K291" s="7">
        <f>J291-I291</f>
        <v>0</v>
      </c>
      <c r="L291" s="6"/>
      <c r="M291" s="5"/>
    </row>
    <row r="292" spans="1:13" x14ac:dyDescent="0.55000000000000004">
      <c r="A292" s="6"/>
      <c r="B292" s="8">
        <f>A292-10</f>
        <v>-10</v>
      </c>
      <c r="C292" s="1">
        <f>J292/10*10^-3</f>
        <v>0</v>
      </c>
      <c r="E292" s="6">
        <f>F292-J292/4.186</f>
        <v>0</v>
      </c>
      <c r="F292" s="6"/>
      <c r="G292" s="8">
        <f>18/(4.86*5)</f>
        <v>0.7407407407407407</v>
      </c>
      <c r="J292" s="5"/>
      <c r="K292" s="7">
        <f>J292-I292</f>
        <v>0</v>
      </c>
      <c r="L292" s="6"/>
      <c r="M292" s="5"/>
    </row>
    <row r="293" spans="1:13" x14ac:dyDescent="0.55000000000000004">
      <c r="A293" s="6"/>
      <c r="B293" s="8">
        <f>A293-10</f>
        <v>-10</v>
      </c>
      <c r="C293" s="1">
        <f>J293/10*10^-3</f>
        <v>0</v>
      </c>
      <c r="E293" s="6">
        <f>F293-J293/4.186</f>
        <v>0</v>
      </c>
      <c r="F293" s="6"/>
      <c r="G293" s="8">
        <f>18/(4.86*5)</f>
        <v>0.7407407407407407</v>
      </c>
      <c r="J293" s="5"/>
      <c r="K293" s="7">
        <f>J293-I293</f>
        <v>0</v>
      </c>
      <c r="L293" s="6"/>
      <c r="M293" s="5"/>
    </row>
    <row r="294" spans="1:13" x14ac:dyDescent="0.55000000000000004">
      <c r="A294" s="6"/>
      <c r="B294" s="8">
        <f>A294-10</f>
        <v>-10</v>
      </c>
      <c r="C294" s="1">
        <f>J294/10*10^-3</f>
        <v>0</v>
      </c>
      <c r="E294" s="6">
        <f>F294-J294/4.186</f>
        <v>0</v>
      </c>
      <c r="F294" s="6"/>
      <c r="G294" s="8">
        <f>18/(4.86*5)</f>
        <v>0.7407407407407407</v>
      </c>
      <c r="J294" s="5"/>
      <c r="K294" s="7">
        <f>J294-I294</f>
        <v>0</v>
      </c>
      <c r="L294" s="6"/>
      <c r="M294" s="5"/>
    </row>
    <row r="295" spans="1:13" x14ac:dyDescent="0.55000000000000004">
      <c r="A295" s="6"/>
      <c r="B295" s="8">
        <f>A295-10</f>
        <v>-10</v>
      </c>
      <c r="C295" s="1">
        <f>J295/10*10^-3</f>
        <v>0</v>
      </c>
      <c r="E295" s="6">
        <f>F295-J295/4.186</f>
        <v>0</v>
      </c>
      <c r="F295" s="6"/>
      <c r="G295" s="8">
        <f>18/(4.86*5)</f>
        <v>0.7407407407407407</v>
      </c>
      <c r="J295" s="5"/>
      <c r="K295" s="7">
        <f>J295-I295</f>
        <v>0</v>
      </c>
      <c r="L295" s="6"/>
      <c r="M295" s="5"/>
    </row>
    <row r="296" spans="1:13" x14ac:dyDescent="0.55000000000000004">
      <c r="A296" s="6"/>
      <c r="B296" s="8">
        <f>A296-10</f>
        <v>-10</v>
      </c>
      <c r="C296" s="1">
        <f>J296/10*10^-3</f>
        <v>0</v>
      </c>
      <c r="E296" s="6">
        <f>F296-J296/4.186</f>
        <v>0</v>
      </c>
      <c r="F296" s="6"/>
      <c r="G296" s="8">
        <f>18/(4.86*5)</f>
        <v>0.7407407407407407</v>
      </c>
      <c r="J296" s="5"/>
      <c r="K296" s="7">
        <f>J296-I296</f>
        <v>0</v>
      </c>
      <c r="L296" s="6"/>
      <c r="M296" s="5"/>
    </row>
    <row r="297" spans="1:13" x14ac:dyDescent="0.55000000000000004">
      <c r="A297" s="6"/>
      <c r="B297" s="8">
        <f>A297-10</f>
        <v>-10</v>
      </c>
      <c r="C297" s="1">
        <f>J297/10*10^-3</f>
        <v>0</v>
      </c>
      <c r="E297" s="6">
        <f>F297-J297/4.186</f>
        <v>0</v>
      </c>
      <c r="F297" s="6"/>
      <c r="G297" s="8">
        <f>18/(4.86*5)</f>
        <v>0.7407407407407407</v>
      </c>
      <c r="J297" s="5"/>
      <c r="K297" s="7">
        <f>J297-I297</f>
        <v>0</v>
      </c>
      <c r="L297" s="6"/>
      <c r="M297" s="5"/>
    </row>
    <row r="298" spans="1:13" x14ac:dyDescent="0.55000000000000004">
      <c r="A298" s="6"/>
      <c r="B298" s="8">
        <f>A298-10</f>
        <v>-10</v>
      </c>
      <c r="C298" s="1">
        <f>J298/10*10^-3</f>
        <v>0</v>
      </c>
      <c r="E298" s="6">
        <f>F298-J298/4.186</f>
        <v>0</v>
      </c>
      <c r="F298" s="6"/>
      <c r="G298" s="8">
        <f>18/(4.86*5)</f>
        <v>0.7407407407407407</v>
      </c>
      <c r="J298" s="5"/>
      <c r="K298" s="7">
        <f>J298-I298</f>
        <v>0</v>
      </c>
      <c r="L298" s="6"/>
      <c r="M298" s="5"/>
    </row>
    <row r="299" spans="1:13" x14ac:dyDescent="0.55000000000000004">
      <c r="A299" s="6"/>
      <c r="B299" s="8">
        <f>A299-10</f>
        <v>-10</v>
      </c>
      <c r="C299" s="1">
        <f>J299/10*10^-3</f>
        <v>0</v>
      </c>
      <c r="E299" s="6">
        <f>F299-J299/4.186</f>
        <v>0</v>
      </c>
      <c r="F299" s="6"/>
      <c r="G299" s="8">
        <f>18/(4.86*5)</f>
        <v>0.7407407407407407</v>
      </c>
      <c r="J299" s="5"/>
      <c r="K299" s="7">
        <f>J299-I299</f>
        <v>0</v>
      </c>
      <c r="L299" s="6"/>
      <c r="M299" s="5"/>
    </row>
    <row r="300" spans="1:13" x14ac:dyDescent="0.55000000000000004">
      <c r="A300" s="6"/>
      <c r="B300" s="8">
        <f>A300-10</f>
        <v>-10</v>
      </c>
      <c r="C300" s="1">
        <f>J300/10*10^-3</f>
        <v>0</v>
      </c>
      <c r="E300" s="6">
        <f>F300-J300/4.186</f>
        <v>0</v>
      </c>
      <c r="F300" s="6"/>
      <c r="G300" s="8">
        <f>18/(4.86*5)</f>
        <v>0.7407407407407407</v>
      </c>
      <c r="J300" s="5"/>
      <c r="K300" s="7">
        <f>J300-I300</f>
        <v>0</v>
      </c>
      <c r="L300" s="6"/>
      <c r="M300" s="5"/>
    </row>
    <row r="301" spans="1:13" x14ac:dyDescent="0.55000000000000004">
      <c r="A301" s="6"/>
      <c r="B301" s="8">
        <f>A301-10</f>
        <v>-10</v>
      </c>
      <c r="C301" s="1">
        <f>J301/10*10^-3</f>
        <v>0</v>
      </c>
      <c r="E301" s="6">
        <f>F301-J301/4.186</f>
        <v>0</v>
      </c>
      <c r="F301" s="6"/>
      <c r="G301" s="8">
        <f>18/(4.86*5)</f>
        <v>0.7407407407407407</v>
      </c>
      <c r="J301" s="5"/>
      <c r="K301" s="7">
        <f>J301-I301</f>
        <v>0</v>
      </c>
      <c r="L301" s="6"/>
      <c r="M301" s="5"/>
    </row>
    <row r="302" spans="1:13" x14ac:dyDescent="0.55000000000000004">
      <c r="A302" s="6"/>
      <c r="B302" s="8">
        <f>A302-10</f>
        <v>-10</v>
      </c>
      <c r="C302" s="1">
        <f>J302/10*10^-3</f>
        <v>0</v>
      </c>
      <c r="E302" s="6">
        <f>F302-J302/4.186</f>
        <v>0</v>
      </c>
      <c r="F302" s="6"/>
      <c r="G302" s="8">
        <f>18/(4.86*5)</f>
        <v>0.7407407407407407</v>
      </c>
      <c r="J302" s="5"/>
      <c r="K302" s="7">
        <f>J302-I302</f>
        <v>0</v>
      </c>
      <c r="L302" s="6"/>
      <c r="M302" s="5"/>
    </row>
    <row r="303" spans="1:13" x14ac:dyDescent="0.55000000000000004">
      <c r="A303" s="6"/>
      <c r="B303" s="8">
        <f>A303-10</f>
        <v>-10</v>
      </c>
      <c r="C303" s="1">
        <f>J303/10*10^-3</f>
        <v>0</v>
      </c>
      <c r="E303" s="6">
        <f>F303-J303/4.186</f>
        <v>0</v>
      </c>
      <c r="F303" s="6"/>
      <c r="G303" s="8">
        <f>18/(4.86*5)</f>
        <v>0.7407407407407407</v>
      </c>
      <c r="J303" s="5"/>
      <c r="K303" s="7">
        <f>J303-I303</f>
        <v>0</v>
      </c>
      <c r="L303" s="6"/>
      <c r="M303" s="5"/>
    </row>
    <row r="304" spans="1:13" x14ac:dyDescent="0.55000000000000004">
      <c r="A304" s="6"/>
      <c r="B304" s="8">
        <f>A304-10</f>
        <v>-10</v>
      </c>
      <c r="C304" s="1">
        <f>J304/10*10^-3</f>
        <v>0</v>
      </c>
      <c r="E304" s="6">
        <f>F304-J304/4.186</f>
        <v>0</v>
      </c>
      <c r="F304" s="6"/>
      <c r="G304" s="8">
        <f>18/(4.86*5)</f>
        <v>0.7407407407407407</v>
      </c>
      <c r="J304" s="5"/>
      <c r="K304" s="7">
        <f>J304-I304</f>
        <v>0</v>
      </c>
      <c r="L304" s="6"/>
      <c r="M304" s="5"/>
    </row>
    <row r="305" spans="1:13" x14ac:dyDescent="0.55000000000000004">
      <c r="A305" s="6"/>
      <c r="B305" s="8">
        <f>A305-10</f>
        <v>-10</v>
      </c>
      <c r="C305" s="1">
        <f>J305/10*10^-3</f>
        <v>0</v>
      </c>
      <c r="E305" s="6">
        <f>F305-J305/4.186</f>
        <v>0</v>
      </c>
      <c r="F305" s="6"/>
      <c r="G305" s="8">
        <f>18/(4.86*5)</f>
        <v>0.7407407407407407</v>
      </c>
      <c r="J305" s="5"/>
      <c r="K305" s="7">
        <f>J305-I305</f>
        <v>0</v>
      </c>
      <c r="L305" s="6"/>
      <c r="M305" s="5"/>
    </row>
    <row r="306" spans="1:13" x14ac:dyDescent="0.55000000000000004">
      <c r="A306" s="6"/>
      <c r="B306" s="8">
        <f>A306-10</f>
        <v>-10</v>
      </c>
      <c r="C306" s="1">
        <f>J306/10*10^-3</f>
        <v>0</v>
      </c>
      <c r="E306" s="6">
        <f>F306-J306/4.186</f>
        <v>0</v>
      </c>
      <c r="F306" s="6"/>
      <c r="G306" s="8">
        <f>18/(4.86*5)</f>
        <v>0.7407407407407407</v>
      </c>
      <c r="J306" s="5"/>
      <c r="K306" s="7">
        <f>J306-I306</f>
        <v>0</v>
      </c>
      <c r="L306" s="6"/>
      <c r="M306" s="5"/>
    </row>
    <row r="307" spans="1:13" x14ac:dyDescent="0.55000000000000004">
      <c r="A307" s="6"/>
      <c r="B307" s="8">
        <f>A307-10</f>
        <v>-10</v>
      </c>
      <c r="C307" s="1">
        <f>J307/10*10^-3</f>
        <v>0</v>
      </c>
      <c r="E307" s="6">
        <f>F307-J307/4.186</f>
        <v>0</v>
      </c>
      <c r="F307" s="6"/>
      <c r="G307" s="8">
        <f>18/(4.86*5)</f>
        <v>0.7407407407407407</v>
      </c>
      <c r="J307" s="5"/>
      <c r="K307" s="7">
        <f>J307-I307</f>
        <v>0</v>
      </c>
      <c r="L307" s="6"/>
      <c r="M307" s="5"/>
    </row>
    <row r="308" spans="1:13" x14ac:dyDescent="0.55000000000000004">
      <c r="A308" s="6"/>
      <c r="B308" s="8">
        <f>A308-10</f>
        <v>-10</v>
      </c>
      <c r="C308" s="1">
        <f>J308/10*10^-3</f>
        <v>0</v>
      </c>
      <c r="E308" s="6">
        <f>F308-J308/4.186</f>
        <v>0</v>
      </c>
      <c r="F308" s="6"/>
      <c r="G308" s="8">
        <f>18/(4.86*5)</f>
        <v>0.7407407407407407</v>
      </c>
      <c r="J308" s="5"/>
      <c r="K308" s="7">
        <f>J308-I308</f>
        <v>0</v>
      </c>
      <c r="L308" s="6"/>
      <c r="M308" s="5"/>
    </row>
    <row r="309" spans="1:13" x14ac:dyDescent="0.55000000000000004">
      <c r="A309" s="6"/>
      <c r="B309" s="8">
        <f>A309-10</f>
        <v>-10</v>
      </c>
      <c r="C309" s="1">
        <f>J309/10*10^-3</f>
        <v>0</v>
      </c>
      <c r="E309" s="6">
        <f>F309-J309/4.186</f>
        <v>0</v>
      </c>
      <c r="F309" s="6"/>
      <c r="G309" s="8">
        <f>18/(4.86*5)</f>
        <v>0.7407407407407407</v>
      </c>
      <c r="J309" s="5"/>
      <c r="K309" s="7">
        <f>J309-I309</f>
        <v>0</v>
      </c>
      <c r="L309" s="6"/>
      <c r="M309" s="5"/>
    </row>
    <row r="310" spans="1:13" x14ac:dyDescent="0.55000000000000004">
      <c r="A310" s="6"/>
      <c r="B310" s="8">
        <f>A310-10</f>
        <v>-10</v>
      </c>
      <c r="C310" s="1">
        <f>J310/10*10^-3</f>
        <v>0</v>
      </c>
      <c r="E310" s="6">
        <f>F310-J310/4.186</f>
        <v>0</v>
      </c>
      <c r="F310" s="6"/>
      <c r="G310" s="8">
        <f>18/(4.86*5)</f>
        <v>0.7407407407407407</v>
      </c>
      <c r="J310" s="5"/>
      <c r="K310" s="7">
        <f>J310-I310</f>
        <v>0</v>
      </c>
      <c r="L310" s="6"/>
      <c r="M310" s="5"/>
    </row>
    <row r="311" spans="1:13" x14ac:dyDescent="0.55000000000000004">
      <c r="A311" s="6"/>
      <c r="B311" s="8">
        <f>A311-10</f>
        <v>-10</v>
      </c>
      <c r="C311" s="1">
        <f>J311/10*10^-3</f>
        <v>0</v>
      </c>
      <c r="E311" s="6">
        <f>F311-J311/4.186</f>
        <v>0</v>
      </c>
      <c r="F311" s="6"/>
      <c r="G311" s="8">
        <f>18/(4.86*5)</f>
        <v>0.7407407407407407</v>
      </c>
      <c r="J311" s="5"/>
      <c r="K311" s="7">
        <f>J311-I311</f>
        <v>0</v>
      </c>
      <c r="L311" s="6"/>
      <c r="M311" s="5"/>
    </row>
    <row r="312" spans="1:13" x14ac:dyDescent="0.55000000000000004">
      <c r="A312" s="6"/>
      <c r="B312" s="8">
        <f>A312-10</f>
        <v>-10</v>
      </c>
      <c r="C312" s="1">
        <f>J312/10*10^-3</f>
        <v>0</v>
      </c>
      <c r="E312" s="6">
        <f>F312-J312/4.186</f>
        <v>0</v>
      </c>
      <c r="F312" s="6"/>
      <c r="G312" s="8">
        <f>18/(4.86*5)</f>
        <v>0.7407407407407407</v>
      </c>
      <c r="J312" s="5"/>
      <c r="K312" s="7">
        <f>J312-I312</f>
        <v>0</v>
      </c>
      <c r="L312" s="6"/>
      <c r="M312" s="5"/>
    </row>
    <row r="313" spans="1:13" x14ac:dyDescent="0.55000000000000004">
      <c r="A313" s="6"/>
      <c r="B313" s="8">
        <f>A313-10</f>
        <v>-10</v>
      </c>
      <c r="C313" s="1">
        <f>J313/10*10^-3</f>
        <v>0</v>
      </c>
      <c r="E313" s="6">
        <f>F313-J313/4.186</f>
        <v>0</v>
      </c>
      <c r="F313" s="6"/>
      <c r="G313" s="8">
        <f>18/(4.86*5)</f>
        <v>0.7407407407407407</v>
      </c>
      <c r="J313" s="5"/>
      <c r="K313" s="7">
        <f>J313-I313</f>
        <v>0</v>
      </c>
      <c r="L313" s="6"/>
      <c r="M313" s="5"/>
    </row>
    <row r="314" spans="1:13" x14ac:dyDescent="0.55000000000000004">
      <c r="A314" s="6"/>
      <c r="B314" s="8">
        <f>A314-10</f>
        <v>-10</v>
      </c>
      <c r="C314" s="1">
        <f>J314/10*10^-3</f>
        <v>0</v>
      </c>
      <c r="E314" s="6">
        <f>F314-J314/4.186</f>
        <v>0</v>
      </c>
      <c r="F314" s="6"/>
      <c r="G314" s="8">
        <f>18/(4.86*5)</f>
        <v>0.7407407407407407</v>
      </c>
      <c r="J314" s="5"/>
      <c r="K314" s="7">
        <f>J314-I314</f>
        <v>0</v>
      </c>
      <c r="L314" s="6"/>
      <c r="M314" s="5"/>
    </row>
    <row r="315" spans="1:13" x14ac:dyDescent="0.55000000000000004">
      <c r="A315" s="6"/>
      <c r="B315" s="8">
        <f>A315-10</f>
        <v>-10</v>
      </c>
      <c r="C315" s="1">
        <f>J315/10*10^-3</f>
        <v>0</v>
      </c>
      <c r="E315" s="6">
        <f>F315-J315/4.186</f>
        <v>0</v>
      </c>
      <c r="F315" s="6"/>
      <c r="G315" s="8">
        <f>18/(4.86*5)</f>
        <v>0.7407407407407407</v>
      </c>
      <c r="J315" s="5"/>
      <c r="K315" s="7">
        <f>J315-I315</f>
        <v>0</v>
      </c>
      <c r="L315" s="6"/>
      <c r="M315" s="5"/>
    </row>
    <row r="316" spans="1:13" x14ac:dyDescent="0.55000000000000004">
      <c r="A316" s="6"/>
      <c r="B316" s="8">
        <f>A316-10</f>
        <v>-10</v>
      </c>
      <c r="C316" s="1">
        <f>J316/10*10^-3</f>
        <v>0</v>
      </c>
      <c r="E316" s="6">
        <f>F316-J316/4.186</f>
        <v>0</v>
      </c>
      <c r="F316" s="6"/>
      <c r="G316" s="8">
        <f>18/(4.86*5)</f>
        <v>0.7407407407407407</v>
      </c>
      <c r="J316" s="5"/>
      <c r="K316" s="7">
        <f>J316-I316</f>
        <v>0</v>
      </c>
      <c r="L316" s="6"/>
      <c r="M316" s="5"/>
    </row>
    <row r="317" spans="1:13" x14ac:dyDescent="0.55000000000000004">
      <c r="A317" s="6"/>
      <c r="B317" s="8">
        <f>A317-10</f>
        <v>-10</v>
      </c>
      <c r="C317" s="1">
        <f>J317/10*10^-3</f>
        <v>0</v>
      </c>
      <c r="E317" s="6">
        <f>F317-J317/4.186</f>
        <v>0</v>
      </c>
      <c r="F317" s="6"/>
      <c r="G317" s="8">
        <f>18/(4.86*5)</f>
        <v>0.7407407407407407</v>
      </c>
      <c r="J317" s="5"/>
      <c r="K317" s="7">
        <f>J317-I317</f>
        <v>0</v>
      </c>
      <c r="L317" s="6"/>
      <c r="M317" s="5"/>
    </row>
    <row r="318" spans="1:13" x14ac:dyDescent="0.55000000000000004">
      <c r="A318" s="6"/>
      <c r="B318" s="8">
        <f>A318-10</f>
        <v>-10</v>
      </c>
      <c r="C318" s="1">
        <f>J318/10*10^-3</f>
        <v>0</v>
      </c>
      <c r="E318" s="6">
        <f>F318-J318/4.186</f>
        <v>0</v>
      </c>
      <c r="F318" s="6"/>
      <c r="G318" s="8">
        <f>18/(4.86*5)</f>
        <v>0.7407407407407407</v>
      </c>
      <c r="J318" s="5"/>
      <c r="K318" s="7">
        <f>J318-I318</f>
        <v>0</v>
      </c>
      <c r="L318" s="6"/>
      <c r="M318" s="5"/>
    </row>
    <row r="319" spans="1:13" x14ac:dyDescent="0.55000000000000004">
      <c r="A319" s="6"/>
      <c r="B319" s="8">
        <f>A319-10</f>
        <v>-10</v>
      </c>
      <c r="C319" s="1">
        <f>J319/10*10^-3</f>
        <v>0</v>
      </c>
      <c r="E319" s="6">
        <f>F319-J319/4.186</f>
        <v>0</v>
      </c>
      <c r="F319" s="6"/>
      <c r="G319" s="8">
        <f>18/(4.86*5)</f>
        <v>0.7407407407407407</v>
      </c>
      <c r="J319" s="5"/>
      <c r="K319" s="7">
        <f>J319-I319</f>
        <v>0</v>
      </c>
      <c r="L319" s="6"/>
      <c r="M319" s="5"/>
    </row>
    <row r="320" spans="1:13" x14ac:dyDescent="0.55000000000000004">
      <c r="A320" s="6"/>
      <c r="B320" s="8">
        <f>A320-10</f>
        <v>-10</v>
      </c>
      <c r="C320" s="1">
        <f>J320/10*10^-3</f>
        <v>0</v>
      </c>
      <c r="E320" s="6">
        <f>F320-J320/4.186</f>
        <v>0</v>
      </c>
      <c r="F320" s="6"/>
      <c r="G320" s="8">
        <f>18/(4.86*5)</f>
        <v>0.7407407407407407</v>
      </c>
      <c r="J320" s="5"/>
      <c r="K320" s="7">
        <f>J320-I320</f>
        <v>0</v>
      </c>
      <c r="L320" s="6"/>
      <c r="M320" s="5"/>
    </row>
    <row r="321" spans="1:13" x14ac:dyDescent="0.55000000000000004">
      <c r="A321" s="6"/>
      <c r="B321" s="8">
        <f>A321-10</f>
        <v>-10</v>
      </c>
      <c r="C321" s="1">
        <f>J321/10*10^-3</f>
        <v>0</v>
      </c>
      <c r="E321" s="6">
        <f>F321-J321/4.186</f>
        <v>0</v>
      </c>
      <c r="F321" s="6"/>
      <c r="G321" s="8">
        <f>18/(4.86*5)</f>
        <v>0.7407407407407407</v>
      </c>
      <c r="J321" s="5"/>
      <c r="K321" s="7">
        <f>J321-I321</f>
        <v>0</v>
      </c>
      <c r="L321" s="6"/>
      <c r="M321" s="5"/>
    </row>
    <row r="322" spans="1:13" x14ac:dyDescent="0.55000000000000004">
      <c r="A322" s="6"/>
      <c r="B322" s="8">
        <f>A322-10</f>
        <v>-10</v>
      </c>
      <c r="C322" s="1">
        <f>J322/10*10^-3</f>
        <v>0</v>
      </c>
      <c r="E322" s="6">
        <f>F322-J322/4.186</f>
        <v>0</v>
      </c>
      <c r="F322" s="6"/>
      <c r="G322" s="8">
        <f>18/(4.86*5)</f>
        <v>0.7407407407407407</v>
      </c>
      <c r="J322" s="5"/>
      <c r="K322" s="7">
        <f>J322-I322</f>
        <v>0</v>
      </c>
      <c r="L322" s="6"/>
      <c r="M322" s="5"/>
    </row>
    <row r="323" spans="1:13" x14ac:dyDescent="0.55000000000000004">
      <c r="A323" s="6"/>
      <c r="B323" s="8">
        <f>A323-10</f>
        <v>-10</v>
      </c>
      <c r="C323" s="1">
        <f>J323/10*10^-3</f>
        <v>0</v>
      </c>
      <c r="E323" s="6">
        <f>F323-J323/4.186</f>
        <v>0</v>
      </c>
      <c r="F323" s="6"/>
      <c r="G323" s="8">
        <f>18/(4.86*5)</f>
        <v>0.7407407407407407</v>
      </c>
      <c r="J323" s="5"/>
      <c r="K323" s="7">
        <f>J323-I323</f>
        <v>0</v>
      </c>
      <c r="L323" s="6"/>
      <c r="M323" s="5"/>
    </row>
    <row r="324" spans="1:13" x14ac:dyDescent="0.55000000000000004">
      <c r="A324" s="6"/>
      <c r="B324" s="8">
        <f>A324-10</f>
        <v>-10</v>
      </c>
      <c r="C324" s="1">
        <f>J324/10*10^-3</f>
        <v>0</v>
      </c>
      <c r="E324" s="6">
        <f>F324-J324/4.186</f>
        <v>0</v>
      </c>
      <c r="F324" s="6"/>
      <c r="G324" s="8">
        <f>18/(4.86*5)</f>
        <v>0.7407407407407407</v>
      </c>
      <c r="J324" s="5"/>
      <c r="K324" s="7">
        <f>J324-I324</f>
        <v>0</v>
      </c>
      <c r="L324" s="6"/>
      <c r="M324" s="5"/>
    </row>
    <row r="325" spans="1:13" x14ac:dyDescent="0.55000000000000004">
      <c r="A325" s="6"/>
      <c r="B325" s="8">
        <f>A325-10</f>
        <v>-10</v>
      </c>
      <c r="C325" s="1">
        <f>J325/10*10^-3</f>
        <v>0</v>
      </c>
      <c r="E325" s="6">
        <f>F325-J325/4.186</f>
        <v>0</v>
      </c>
      <c r="F325" s="6"/>
      <c r="G325" s="8">
        <f>18/(4.86*5)</f>
        <v>0.7407407407407407</v>
      </c>
      <c r="J325" s="5"/>
      <c r="K325" s="7">
        <f>J325-I325</f>
        <v>0</v>
      </c>
      <c r="L325" s="6"/>
      <c r="M325" s="5"/>
    </row>
    <row r="326" spans="1:13" x14ac:dyDescent="0.55000000000000004">
      <c r="A326" s="6"/>
      <c r="B326" s="8">
        <f>A326-10</f>
        <v>-10</v>
      </c>
      <c r="C326" s="1">
        <f>J326/10*10^-3</f>
        <v>0</v>
      </c>
      <c r="E326" s="6">
        <f>F326-J326/4.186</f>
        <v>0</v>
      </c>
      <c r="F326" s="6"/>
      <c r="G326" s="8">
        <f>18/(4.86*5)</f>
        <v>0.7407407407407407</v>
      </c>
      <c r="J326" s="5"/>
      <c r="K326" s="7">
        <f>J326-I326</f>
        <v>0</v>
      </c>
      <c r="L326" s="6"/>
      <c r="M326" s="5"/>
    </row>
    <row r="327" spans="1:13" x14ac:dyDescent="0.55000000000000004">
      <c r="A327" s="6"/>
      <c r="B327" s="8">
        <f>A327-10</f>
        <v>-10</v>
      </c>
      <c r="C327" s="1">
        <f>J327/10*10^-3</f>
        <v>0</v>
      </c>
      <c r="E327" s="6">
        <f>F327-J327/4.186</f>
        <v>0</v>
      </c>
      <c r="F327" s="6"/>
      <c r="G327" s="8">
        <f>18/(4.86*5)</f>
        <v>0.7407407407407407</v>
      </c>
      <c r="J327" s="5"/>
      <c r="K327" s="7">
        <f>J327-I327</f>
        <v>0</v>
      </c>
      <c r="L327" s="6"/>
      <c r="M327" s="5"/>
    </row>
    <row r="328" spans="1:13" x14ac:dyDescent="0.55000000000000004">
      <c r="A328" s="6"/>
      <c r="B328" s="8">
        <f>A328-10</f>
        <v>-10</v>
      </c>
      <c r="C328" s="1">
        <f>J328/10*10^-3</f>
        <v>0</v>
      </c>
      <c r="E328" s="6">
        <f>F328-J328/4.186</f>
        <v>0</v>
      </c>
      <c r="F328" s="6"/>
      <c r="G328" s="8">
        <f>18/(4.86*5)</f>
        <v>0.7407407407407407</v>
      </c>
      <c r="J328" s="5"/>
      <c r="K328" s="7">
        <f>J328-I328</f>
        <v>0</v>
      </c>
      <c r="L328" s="6"/>
      <c r="M328" s="5"/>
    </row>
    <row r="329" spans="1:13" x14ac:dyDescent="0.55000000000000004">
      <c r="A329" s="6"/>
      <c r="B329" s="8">
        <f>A329-10</f>
        <v>-10</v>
      </c>
      <c r="C329" s="1">
        <f>J329/10*10^-3</f>
        <v>0</v>
      </c>
      <c r="E329" s="6">
        <f>F329-J329/4.186</f>
        <v>0</v>
      </c>
      <c r="F329" s="6"/>
      <c r="G329" s="8">
        <f>18/(4.86*5)</f>
        <v>0.7407407407407407</v>
      </c>
      <c r="J329" s="5"/>
      <c r="K329" s="7">
        <f>J329-I329</f>
        <v>0</v>
      </c>
      <c r="L329" s="6"/>
      <c r="M329" s="5"/>
    </row>
    <row r="330" spans="1:13" x14ac:dyDescent="0.55000000000000004">
      <c r="A330" s="6"/>
      <c r="B330" s="8">
        <f>A330-10</f>
        <v>-10</v>
      </c>
      <c r="C330" s="1">
        <f>J330/10*10^-3</f>
        <v>0</v>
      </c>
      <c r="E330" s="6">
        <f>F330-J330/4.186</f>
        <v>0</v>
      </c>
      <c r="F330" s="6"/>
      <c r="G330" s="8">
        <f>18/(4.86*5)</f>
        <v>0.7407407407407407</v>
      </c>
      <c r="J330" s="5"/>
      <c r="K330" s="7">
        <f>J330-I330</f>
        <v>0</v>
      </c>
      <c r="L330" s="6"/>
      <c r="M330" s="5"/>
    </row>
    <row r="331" spans="1:13" x14ac:dyDescent="0.55000000000000004">
      <c r="A331" s="6"/>
      <c r="B331" s="8">
        <f>A331-10</f>
        <v>-10</v>
      </c>
      <c r="C331" s="1">
        <f>J331/10*10^-3</f>
        <v>0</v>
      </c>
      <c r="E331" s="6">
        <f>F331-J331/4.186</f>
        <v>0</v>
      </c>
      <c r="F331" s="6"/>
      <c r="G331" s="8">
        <f>18/(4.86*5)</f>
        <v>0.7407407407407407</v>
      </c>
      <c r="J331" s="5"/>
      <c r="K331" s="7">
        <f>J331-I331</f>
        <v>0</v>
      </c>
      <c r="L331" s="6"/>
      <c r="M331" s="5"/>
    </row>
    <row r="332" spans="1:13" x14ac:dyDescent="0.55000000000000004">
      <c r="A332" s="6"/>
      <c r="B332" s="8">
        <f>A332-10</f>
        <v>-10</v>
      </c>
      <c r="C332" s="1">
        <f>J332/10*10^-3</f>
        <v>0</v>
      </c>
      <c r="E332" s="6">
        <f>F332-J332/4.186</f>
        <v>0</v>
      </c>
      <c r="F332" s="6"/>
      <c r="G332" s="8">
        <f>18/(4.86*5)</f>
        <v>0.7407407407407407</v>
      </c>
      <c r="J332" s="5"/>
      <c r="K332" s="7">
        <f>J332-I332</f>
        <v>0</v>
      </c>
      <c r="L332" s="6"/>
      <c r="M332" s="5"/>
    </row>
    <row r="333" spans="1:13" x14ac:dyDescent="0.55000000000000004">
      <c r="A333" s="6"/>
      <c r="B333" s="8">
        <f>A333-10</f>
        <v>-10</v>
      </c>
      <c r="C333" s="1">
        <f>J333/10*10^-3</f>
        <v>0</v>
      </c>
      <c r="E333" s="6">
        <f>F333-J333/4.186</f>
        <v>0</v>
      </c>
      <c r="F333" s="6"/>
      <c r="G333" s="8">
        <f>18/(4.86*5)</f>
        <v>0.7407407407407407</v>
      </c>
      <c r="J333" s="5"/>
      <c r="K333" s="7">
        <f>J333-I333</f>
        <v>0</v>
      </c>
      <c r="L333" s="6"/>
      <c r="M333" s="5"/>
    </row>
    <row r="334" spans="1:13" x14ac:dyDescent="0.55000000000000004">
      <c r="A334" s="6"/>
      <c r="B334" s="8">
        <f>A334-10</f>
        <v>-10</v>
      </c>
      <c r="C334" s="1">
        <f>J334/10*10^-3</f>
        <v>0</v>
      </c>
      <c r="E334" s="6">
        <f>F334-J334/4.186</f>
        <v>0</v>
      </c>
      <c r="F334" s="6"/>
      <c r="G334" s="8">
        <f>18/(4.86*5)</f>
        <v>0.7407407407407407</v>
      </c>
      <c r="J334" s="5"/>
      <c r="K334" s="7">
        <f>J334-I334</f>
        <v>0</v>
      </c>
      <c r="L334" s="6"/>
      <c r="M334" s="5"/>
    </row>
    <row r="335" spans="1:13" x14ac:dyDescent="0.55000000000000004">
      <c r="A335" s="6"/>
      <c r="B335" s="8">
        <f>A335-10</f>
        <v>-10</v>
      </c>
      <c r="C335" s="1">
        <f>J335/10*10^-3</f>
        <v>0</v>
      </c>
      <c r="E335" s="6">
        <f>F335-J335/4.186</f>
        <v>0</v>
      </c>
      <c r="F335" s="6"/>
      <c r="G335" s="8">
        <f>18/(4.86*5)</f>
        <v>0.7407407407407407</v>
      </c>
      <c r="J335" s="5"/>
      <c r="K335" s="7">
        <f>J335-I335</f>
        <v>0</v>
      </c>
      <c r="L335" s="6"/>
      <c r="M335" s="5"/>
    </row>
    <row r="336" spans="1:13" x14ac:dyDescent="0.55000000000000004">
      <c r="A336" s="6"/>
      <c r="B336" s="8">
        <f>A336-10</f>
        <v>-10</v>
      </c>
      <c r="C336" s="1">
        <f>J336/10*10^-3</f>
        <v>0</v>
      </c>
      <c r="E336" s="6">
        <f>F336-J336/4.186</f>
        <v>0</v>
      </c>
      <c r="F336" s="6"/>
      <c r="G336" s="8">
        <f>18/(4.86*5)</f>
        <v>0.7407407407407407</v>
      </c>
      <c r="J336" s="5"/>
      <c r="K336" s="7">
        <f>J336-I336</f>
        <v>0</v>
      </c>
      <c r="L336" s="6"/>
      <c r="M336" s="5"/>
    </row>
    <row r="337" spans="1:13" x14ac:dyDescent="0.55000000000000004">
      <c r="A337" s="6"/>
      <c r="B337" s="8">
        <f>A337-10</f>
        <v>-10</v>
      </c>
      <c r="C337" s="1">
        <f>J337/10*10^-3</f>
        <v>0</v>
      </c>
      <c r="E337" s="6">
        <f>F337-J337/4.186</f>
        <v>0</v>
      </c>
      <c r="F337" s="6"/>
      <c r="G337" s="8">
        <f>18/(4.86*5)</f>
        <v>0.7407407407407407</v>
      </c>
      <c r="J337" s="5"/>
      <c r="K337" s="7">
        <f>J337-I337</f>
        <v>0</v>
      </c>
      <c r="L337" s="6"/>
      <c r="M337" s="5"/>
    </row>
    <row r="338" spans="1:13" x14ac:dyDescent="0.55000000000000004">
      <c r="A338" s="6"/>
      <c r="B338" s="8">
        <f>A338-10</f>
        <v>-10</v>
      </c>
      <c r="C338" s="1">
        <f>J338/10*10^-3</f>
        <v>0</v>
      </c>
      <c r="E338" s="6">
        <f>F338-J338/4.186</f>
        <v>0</v>
      </c>
      <c r="F338" s="6"/>
      <c r="G338" s="8">
        <f>18/(4.86*5)</f>
        <v>0.7407407407407407</v>
      </c>
      <c r="J338" s="5"/>
      <c r="K338" s="7">
        <f>J338-I338</f>
        <v>0</v>
      </c>
      <c r="L338" s="6"/>
      <c r="M338" s="5"/>
    </row>
    <row r="339" spans="1:13" x14ac:dyDescent="0.55000000000000004">
      <c r="A339" s="6"/>
      <c r="B339" s="8">
        <f>A339-10</f>
        <v>-10</v>
      </c>
      <c r="C339" s="1">
        <f>J339/10*10^-3</f>
        <v>0</v>
      </c>
      <c r="E339" s="6">
        <f>F339-J339/4.186</f>
        <v>0</v>
      </c>
      <c r="F339" s="6"/>
      <c r="G339" s="8">
        <f>18/(4.86*5)</f>
        <v>0.7407407407407407</v>
      </c>
      <c r="J339" s="5"/>
      <c r="K339" s="7">
        <f>J339-I339</f>
        <v>0</v>
      </c>
      <c r="L339" s="6"/>
      <c r="M339" s="5"/>
    </row>
    <row r="340" spans="1:13" x14ac:dyDescent="0.55000000000000004">
      <c r="A340" s="6"/>
      <c r="B340" s="8">
        <f>A340-10</f>
        <v>-10</v>
      </c>
      <c r="C340" s="1">
        <f>J340/10*10^-3</f>
        <v>0</v>
      </c>
      <c r="E340" s="6">
        <f>F340-J340/4.186</f>
        <v>0</v>
      </c>
      <c r="F340" s="6"/>
      <c r="G340" s="8">
        <f>18/(4.86*5)</f>
        <v>0.7407407407407407</v>
      </c>
      <c r="J340" s="5"/>
      <c r="K340" s="7">
        <f>J340-I340</f>
        <v>0</v>
      </c>
      <c r="L340" s="6"/>
      <c r="M340" s="5"/>
    </row>
    <row r="341" spans="1:13" x14ac:dyDescent="0.55000000000000004">
      <c r="A341" s="6"/>
      <c r="B341" s="8">
        <f>A341-10</f>
        <v>-10</v>
      </c>
      <c r="C341" s="1">
        <f>J341/10*10^-3</f>
        <v>0</v>
      </c>
      <c r="E341" s="6">
        <f>F341-J341/4.186</f>
        <v>0</v>
      </c>
      <c r="F341" s="6"/>
      <c r="G341" s="8">
        <f>18/(4.86*5)</f>
        <v>0.7407407407407407</v>
      </c>
      <c r="J341" s="5"/>
      <c r="K341" s="7">
        <f>J341-I341</f>
        <v>0</v>
      </c>
      <c r="L341" s="6"/>
      <c r="M341" s="5"/>
    </row>
    <row r="342" spans="1:13" x14ac:dyDescent="0.55000000000000004">
      <c r="A342" s="6"/>
      <c r="B342" s="8">
        <f>A342-10</f>
        <v>-10</v>
      </c>
      <c r="C342" s="1">
        <f>J342/10*10^-3</f>
        <v>0</v>
      </c>
      <c r="E342" s="6">
        <f>F342-J342/4.186</f>
        <v>0</v>
      </c>
      <c r="F342" s="6"/>
      <c r="G342" s="8">
        <f>18/(4.86*5)</f>
        <v>0.7407407407407407</v>
      </c>
      <c r="J342" s="5"/>
      <c r="K342" s="7">
        <f>J342-I342</f>
        <v>0</v>
      </c>
      <c r="L342" s="6"/>
      <c r="M342" s="5"/>
    </row>
    <row r="343" spans="1:13" x14ac:dyDescent="0.55000000000000004">
      <c r="A343" s="6"/>
      <c r="B343" s="8">
        <f>A343-10</f>
        <v>-10</v>
      </c>
      <c r="C343" s="1">
        <f>J343/10*10^-3</f>
        <v>0</v>
      </c>
      <c r="E343" s="6">
        <f>F343-J343/4.186</f>
        <v>0</v>
      </c>
      <c r="F343" s="6"/>
      <c r="G343" s="8">
        <f>18/(4.86*5)</f>
        <v>0.7407407407407407</v>
      </c>
      <c r="J343" s="5"/>
      <c r="K343" s="7">
        <f>J343-I343</f>
        <v>0</v>
      </c>
      <c r="L343" s="6"/>
      <c r="M343" s="5"/>
    </row>
    <row r="344" spans="1:13" x14ac:dyDescent="0.55000000000000004">
      <c r="A344" s="6"/>
      <c r="B344" s="8">
        <f>A344-10</f>
        <v>-10</v>
      </c>
      <c r="C344" s="1">
        <f>J344/10*10^-3</f>
        <v>0</v>
      </c>
      <c r="E344" s="6">
        <f>F344-J344/4.186</f>
        <v>0</v>
      </c>
      <c r="F344" s="6"/>
      <c r="G344" s="8">
        <f>18/(4.86*5)</f>
        <v>0.7407407407407407</v>
      </c>
      <c r="J344" s="5"/>
      <c r="K344" s="7">
        <f>J344-I344</f>
        <v>0</v>
      </c>
      <c r="L344" s="6"/>
      <c r="M344" s="5"/>
    </row>
    <row r="345" spans="1:13" x14ac:dyDescent="0.55000000000000004">
      <c r="A345" s="6"/>
      <c r="B345" s="8">
        <f>A345-10</f>
        <v>-10</v>
      </c>
      <c r="C345" s="1">
        <f>J345/10*10^-3</f>
        <v>0</v>
      </c>
      <c r="E345" s="6">
        <f>F345-J345/4.186</f>
        <v>0</v>
      </c>
      <c r="F345" s="6"/>
      <c r="G345" s="8">
        <f>18/(4.86*5)</f>
        <v>0.7407407407407407</v>
      </c>
      <c r="J345" s="5"/>
      <c r="K345" s="7">
        <f>J345-I345</f>
        <v>0</v>
      </c>
      <c r="L345" s="6"/>
      <c r="M345" s="5"/>
    </row>
    <row r="346" spans="1:13" x14ac:dyDescent="0.55000000000000004">
      <c r="A346" s="6"/>
      <c r="B346" s="8">
        <f>A346-10</f>
        <v>-10</v>
      </c>
      <c r="C346" s="1">
        <f>J346/10*10^-3</f>
        <v>0</v>
      </c>
      <c r="E346" s="6">
        <f>F346-J346/4.186</f>
        <v>0</v>
      </c>
      <c r="F346" s="6"/>
      <c r="G346" s="8">
        <f>18/(4.86*5)</f>
        <v>0.7407407407407407</v>
      </c>
      <c r="J346" s="5"/>
      <c r="K346" s="7">
        <f>J346-I346</f>
        <v>0</v>
      </c>
      <c r="L346" s="6"/>
      <c r="M346" s="5"/>
    </row>
    <row r="347" spans="1:13" x14ac:dyDescent="0.55000000000000004">
      <c r="A347" s="6"/>
      <c r="B347" s="8">
        <f>A347-10</f>
        <v>-10</v>
      </c>
      <c r="C347" s="1">
        <f>J347/10*10^-3</f>
        <v>0</v>
      </c>
      <c r="E347" s="6">
        <f>F347-J347/4.186</f>
        <v>0</v>
      </c>
      <c r="F347" s="6"/>
      <c r="G347" s="8">
        <f>18/(4.86*5)</f>
        <v>0.7407407407407407</v>
      </c>
      <c r="J347" s="5"/>
      <c r="K347" s="7">
        <f>J347-I347</f>
        <v>0</v>
      </c>
      <c r="L347" s="6"/>
      <c r="M347" s="5"/>
    </row>
    <row r="348" spans="1:13" x14ac:dyDescent="0.55000000000000004">
      <c r="A348" s="6"/>
      <c r="B348" s="8">
        <f>A348-10</f>
        <v>-10</v>
      </c>
      <c r="C348" s="1">
        <f>J348/10*10^-3</f>
        <v>0</v>
      </c>
      <c r="E348" s="6">
        <f>F348-J348/4.186</f>
        <v>0</v>
      </c>
      <c r="F348" s="6"/>
      <c r="G348" s="8">
        <f>18/(4.86*5)</f>
        <v>0.7407407407407407</v>
      </c>
      <c r="J348" s="5"/>
      <c r="K348" s="7">
        <f>J348-I348</f>
        <v>0</v>
      </c>
      <c r="L348" s="6"/>
      <c r="M348" s="5"/>
    </row>
    <row r="349" spans="1:13" x14ac:dyDescent="0.55000000000000004">
      <c r="A349" s="6"/>
      <c r="B349" s="8">
        <f>A349-10</f>
        <v>-10</v>
      </c>
      <c r="C349" s="1">
        <f>J349/10*10^-3</f>
        <v>0</v>
      </c>
      <c r="E349" s="6">
        <f>F349-J349/4.186</f>
        <v>0</v>
      </c>
      <c r="F349" s="6"/>
      <c r="G349" s="8">
        <f>18/(4.86*5)</f>
        <v>0.7407407407407407</v>
      </c>
      <c r="J349" s="5"/>
      <c r="K349" s="7">
        <f>J349-I349</f>
        <v>0</v>
      </c>
      <c r="L349" s="6"/>
      <c r="M349" s="5"/>
    </row>
    <row r="350" spans="1:13" x14ac:dyDescent="0.55000000000000004">
      <c r="A350" s="6"/>
      <c r="B350" s="8">
        <f>A350-10</f>
        <v>-10</v>
      </c>
      <c r="C350" s="1">
        <f>J350/10*10^-3</f>
        <v>0</v>
      </c>
      <c r="E350" s="6">
        <f>F350-J350/4.186</f>
        <v>0</v>
      </c>
      <c r="F350" s="6"/>
      <c r="G350" s="8">
        <f>18/(4.86*5)</f>
        <v>0.7407407407407407</v>
      </c>
      <c r="J350" s="5"/>
      <c r="K350" s="7">
        <f>J350-I350</f>
        <v>0</v>
      </c>
      <c r="L350" s="6"/>
      <c r="M350" s="5"/>
    </row>
    <row r="351" spans="1:13" x14ac:dyDescent="0.55000000000000004">
      <c r="A351" s="6"/>
      <c r="B351" s="8">
        <f>A351-10</f>
        <v>-10</v>
      </c>
      <c r="C351" s="1">
        <f>J351/10*10^-3</f>
        <v>0</v>
      </c>
      <c r="E351" s="6">
        <f>F351-J351/4.186</f>
        <v>0</v>
      </c>
      <c r="F351" s="6"/>
      <c r="G351" s="8">
        <f>18/(4.86*5)</f>
        <v>0.7407407407407407</v>
      </c>
      <c r="J351" s="5"/>
      <c r="K351" s="7">
        <f>J351-I351</f>
        <v>0</v>
      </c>
      <c r="L351" s="6"/>
      <c r="M351" s="5"/>
    </row>
    <row r="352" spans="1:13" x14ac:dyDescent="0.55000000000000004">
      <c r="A352" s="6"/>
      <c r="B352" s="8">
        <f>A352-10</f>
        <v>-10</v>
      </c>
      <c r="C352" s="1">
        <f>J352/10*10^-3</f>
        <v>0</v>
      </c>
      <c r="E352" s="6">
        <f>F352-J352/4.186</f>
        <v>0</v>
      </c>
      <c r="F352" s="6"/>
      <c r="G352" s="8">
        <f>18/(4.86*5)</f>
        <v>0.7407407407407407</v>
      </c>
      <c r="J352" s="5"/>
      <c r="K352" s="7">
        <f>J352-I352</f>
        <v>0</v>
      </c>
      <c r="L352" s="6"/>
      <c r="M352" s="5"/>
    </row>
    <row r="353" spans="1:13" x14ac:dyDescent="0.55000000000000004">
      <c r="A353" s="6"/>
      <c r="B353" s="8">
        <f>A353-10</f>
        <v>-10</v>
      </c>
      <c r="C353" s="1">
        <f>J353/10*10^-3</f>
        <v>0</v>
      </c>
      <c r="E353" s="6">
        <f>F353-J353/4.186</f>
        <v>0</v>
      </c>
      <c r="F353" s="6"/>
      <c r="G353" s="8">
        <f>18/(4.86*5)</f>
        <v>0.7407407407407407</v>
      </c>
      <c r="J353" s="5"/>
      <c r="K353" s="7">
        <f>J353-I353</f>
        <v>0</v>
      </c>
      <c r="L353" s="6"/>
      <c r="M353" s="5"/>
    </row>
    <row r="354" spans="1:13" x14ac:dyDescent="0.55000000000000004">
      <c r="A354" s="6"/>
      <c r="B354" s="8">
        <f>A354-10</f>
        <v>-10</v>
      </c>
      <c r="C354" s="1">
        <f>J354/10*10^-3</f>
        <v>0</v>
      </c>
      <c r="E354" s="6">
        <f>F354-J354/4.186</f>
        <v>0</v>
      </c>
      <c r="F354" s="6"/>
      <c r="G354" s="8">
        <f>18/(4.86*5)</f>
        <v>0.7407407407407407</v>
      </c>
      <c r="J354" s="5"/>
      <c r="K354" s="7">
        <f>J354-I354</f>
        <v>0</v>
      </c>
      <c r="L354" s="6"/>
      <c r="M354" s="5"/>
    </row>
    <row r="355" spans="1:13" x14ac:dyDescent="0.55000000000000004">
      <c r="A355" s="6"/>
      <c r="B355" s="8">
        <f>A355-10</f>
        <v>-10</v>
      </c>
      <c r="C355" s="1">
        <f>J355/10*10^-3</f>
        <v>0</v>
      </c>
      <c r="E355" s="6">
        <f>F355-J355/4.186</f>
        <v>0</v>
      </c>
      <c r="F355" s="6"/>
      <c r="G355" s="8">
        <f>18/(4.86*5)</f>
        <v>0.7407407407407407</v>
      </c>
      <c r="J355" s="5"/>
      <c r="K355" s="7">
        <f>J355-I355</f>
        <v>0</v>
      </c>
      <c r="L355" s="6"/>
      <c r="M355" s="5"/>
    </row>
    <row r="356" spans="1:13" x14ac:dyDescent="0.55000000000000004">
      <c r="A356" s="6"/>
      <c r="B356" s="8">
        <f>A356-10</f>
        <v>-10</v>
      </c>
      <c r="C356" s="1">
        <f>J356/10*10^-3</f>
        <v>0</v>
      </c>
      <c r="E356" s="6">
        <f>F356-J356/4.186</f>
        <v>0</v>
      </c>
      <c r="F356" s="6"/>
      <c r="G356" s="8">
        <f>18/(4.86*5)</f>
        <v>0.7407407407407407</v>
      </c>
      <c r="J356" s="5"/>
      <c r="K356" s="7">
        <f>J356-I356</f>
        <v>0</v>
      </c>
      <c r="L356" s="6"/>
      <c r="M356" s="5"/>
    </row>
    <row r="357" spans="1:13" x14ac:dyDescent="0.55000000000000004">
      <c r="A357" s="6"/>
      <c r="B357" s="8">
        <f>A357-10</f>
        <v>-10</v>
      </c>
      <c r="C357" s="1">
        <f>J357/10*10^-3</f>
        <v>0</v>
      </c>
      <c r="E357" s="6">
        <f>F357-J357/4.186</f>
        <v>0</v>
      </c>
      <c r="F357" s="6"/>
      <c r="G357" s="8">
        <f>18/(4.86*5)</f>
        <v>0.7407407407407407</v>
      </c>
      <c r="J357" s="5"/>
      <c r="K357" s="7">
        <f>J357-I357</f>
        <v>0</v>
      </c>
      <c r="L357" s="6"/>
      <c r="M357" s="5"/>
    </row>
    <row r="358" spans="1:13" x14ac:dyDescent="0.55000000000000004">
      <c r="A358" s="6"/>
      <c r="B358" s="8">
        <f>A358-10</f>
        <v>-10</v>
      </c>
      <c r="C358" s="1">
        <f>J358/10*10^-3</f>
        <v>0</v>
      </c>
      <c r="E358" s="6">
        <f>F358-J358/4.186</f>
        <v>0</v>
      </c>
      <c r="F358" s="6"/>
      <c r="G358" s="8">
        <f>18/(4.86*5)</f>
        <v>0.7407407407407407</v>
      </c>
      <c r="J358" s="5"/>
      <c r="K358" s="7">
        <f>J358-I358</f>
        <v>0</v>
      </c>
      <c r="L358" s="6"/>
      <c r="M358" s="5"/>
    </row>
    <row r="359" spans="1:13" x14ac:dyDescent="0.55000000000000004">
      <c r="A359" s="6"/>
      <c r="B359" s="8">
        <f>A359-10</f>
        <v>-10</v>
      </c>
      <c r="C359" s="1">
        <f>J359/10*10^-3</f>
        <v>0</v>
      </c>
      <c r="E359" s="6">
        <f>F359-J359/4.186</f>
        <v>0</v>
      </c>
      <c r="F359" s="6"/>
      <c r="G359" s="8">
        <f>18/(4.86*5)</f>
        <v>0.7407407407407407</v>
      </c>
      <c r="J359" s="5"/>
      <c r="K359" s="7">
        <f>J359-I359</f>
        <v>0</v>
      </c>
      <c r="L359" s="6"/>
      <c r="M359" s="5"/>
    </row>
    <row r="360" spans="1:13" x14ac:dyDescent="0.55000000000000004">
      <c r="A360" s="6"/>
      <c r="B360" s="8">
        <f>A360-10</f>
        <v>-10</v>
      </c>
      <c r="C360" s="1">
        <f>J360/10*10^-3</f>
        <v>0</v>
      </c>
      <c r="E360" s="6">
        <f>F360-J360/4.186</f>
        <v>0</v>
      </c>
      <c r="F360" s="6"/>
      <c r="G360" s="8">
        <f>18/(4.86*5)</f>
        <v>0.7407407407407407</v>
      </c>
      <c r="J360" s="5"/>
      <c r="K360" s="7">
        <f>J360-I360</f>
        <v>0</v>
      </c>
      <c r="L360" s="6"/>
      <c r="M360" s="5"/>
    </row>
    <row r="361" spans="1:13" x14ac:dyDescent="0.55000000000000004">
      <c r="A361" s="6"/>
      <c r="B361" s="8">
        <f>A361-10</f>
        <v>-10</v>
      </c>
      <c r="C361" s="1">
        <f>J361/10*10^-3</f>
        <v>0</v>
      </c>
      <c r="E361" s="6">
        <f>F361-J361/4.186</f>
        <v>0</v>
      </c>
      <c r="F361" s="6"/>
      <c r="G361" s="8">
        <f>18/(4.86*5)</f>
        <v>0.7407407407407407</v>
      </c>
      <c r="J361" s="5"/>
      <c r="K361" s="7">
        <f>J361-I361</f>
        <v>0</v>
      </c>
      <c r="L361" s="6"/>
      <c r="M361" s="5"/>
    </row>
    <row r="362" spans="1:13" x14ac:dyDescent="0.55000000000000004">
      <c r="A362" s="6"/>
      <c r="B362" s="8">
        <f>A362-10</f>
        <v>-10</v>
      </c>
      <c r="C362" s="1">
        <f>J362/10*10^-3</f>
        <v>0</v>
      </c>
      <c r="E362" s="6">
        <f>F362-J362/4.186</f>
        <v>0</v>
      </c>
      <c r="F362" s="6"/>
      <c r="G362" s="8">
        <f>18/(4.86*5)</f>
        <v>0.7407407407407407</v>
      </c>
      <c r="J362" s="5"/>
      <c r="K362" s="7">
        <f>J362-I362</f>
        <v>0</v>
      </c>
      <c r="L362" s="6"/>
      <c r="M362" s="5"/>
    </row>
    <row r="363" spans="1:13" x14ac:dyDescent="0.55000000000000004">
      <c r="A363" s="6"/>
      <c r="B363" s="8">
        <f>A363-10</f>
        <v>-10</v>
      </c>
      <c r="C363" s="1">
        <f>J363/10*10^-3</f>
        <v>0</v>
      </c>
      <c r="E363" s="6">
        <f>F363-J363/4.186</f>
        <v>0</v>
      </c>
      <c r="F363" s="6"/>
      <c r="G363" s="8">
        <f>18/(4.86*5)</f>
        <v>0.7407407407407407</v>
      </c>
      <c r="J363" s="5"/>
      <c r="K363" s="7">
        <f>J363-I363</f>
        <v>0</v>
      </c>
      <c r="L363" s="6"/>
      <c r="M363" s="5"/>
    </row>
    <row r="364" spans="1:13" x14ac:dyDescent="0.55000000000000004">
      <c r="A364" s="6"/>
      <c r="B364" s="8">
        <f>A364-10</f>
        <v>-10</v>
      </c>
      <c r="C364" s="1">
        <f>J364/10*10^-3</f>
        <v>0</v>
      </c>
      <c r="E364" s="6">
        <f>F364-J364/4.186</f>
        <v>0</v>
      </c>
      <c r="F364" s="6"/>
      <c r="G364" s="8">
        <f>18/(4.86*5)</f>
        <v>0.7407407407407407</v>
      </c>
      <c r="J364" s="5"/>
      <c r="K364" s="7">
        <f>J364-I364</f>
        <v>0</v>
      </c>
      <c r="L364" s="6"/>
      <c r="M364" s="5"/>
    </row>
    <row r="365" spans="1:13" x14ac:dyDescent="0.55000000000000004">
      <c r="A365" s="6"/>
      <c r="B365" s="8">
        <f>A365-10</f>
        <v>-10</v>
      </c>
      <c r="C365" s="1">
        <f>J365/10*10^-3</f>
        <v>0</v>
      </c>
      <c r="E365" s="6">
        <f>F365-J365/4.186</f>
        <v>0</v>
      </c>
      <c r="F365" s="6"/>
      <c r="G365" s="8">
        <f>18/(4.86*5)</f>
        <v>0.7407407407407407</v>
      </c>
      <c r="J365" s="5"/>
      <c r="K365" s="7">
        <f>J365-I365</f>
        <v>0</v>
      </c>
      <c r="L365" s="6"/>
      <c r="M365" s="5"/>
    </row>
    <row r="366" spans="1:13" x14ac:dyDescent="0.55000000000000004">
      <c r="A366" s="6"/>
      <c r="B366" s="8">
        <f>A366-10</f>
        <v>-10</v>
      </c>
      <c r="C366" s="1">
        <f>J366/10*10^-3</f>
        <v>0</v>
      </c>
      <c r="E366" s="6">
        <f>F366-J366/4.186</f>
        <v>0</v>
      </c>
      <c r="F366" s="6"/>
      <c r="G366" s="8">
        <f>18/(4.86*5)</f>
        <v>0.7407407407407407</v>
      </c>
      <c r="J366" s="5"/>
      <c r="K366" s="7">
        <f>J366-I366</f>
        <v>0</v>
      </c>
      <c r="L366" s="6"/>
      <c r="M366" s="5"/>
    </row>
    <row r="367" spans="1:13" x14ac:dyDescent="0.55000000000000004">
      <c r="A367" s="6"/>
      <c r="B367" s="8">
        <f>A367-10</f>
        <v>-10</v>
      </c>
      <c r="C367" s="1">
        <f>J367/10*10^-3</f>
        <v>0</v>
      </c>
      <c r="E367" s="6">
        <f>F367-J367/4.186</f>
        <v>0</v>
      </c>
      <c r="F367" s="6"/>
      <c r="G367" s="8">
        <f>18/(4.86*5)</f>
        <v>0.7407407407407407</v>
      </c>
      <c r="J367" s="5"/>
      <c r="K367" s="7">
        <f>J367-I367</f>
        <v>0</v>
      </c>
      <c r="L367" s="6"/>
      <c r="M367" s="5"/>
    </row>
    <row r="368" spans="1:13" x14ac:dyDescent="0.55000000000000004">
      <c r="A368" s="6"/>
      <c r="B368" s="8">
        <f>A368-10</f>
        <v>-10</v>
      </c>
      <c r="C368" s="1">
        <f>J368/10*10^-3</f>
        <v>0</v>
      </c>
      <c r="E368" s="6">
        <f>F368-J368/4.186</f>
        <v>0</v>
      </c>
      <c r="F368" s="6"/>
      <c r="G368" s="8">
        <f>18/(4.86*5)</f>
        <v>0.7407407407407407</v>
      </c>
      <c r="J368" s="5"/>
      <c r="K368" s="7">
        <f>J368-I368</f>
        <v>0</v>
      </c>
      <c r="L368" s="6"/>
      <c r="M368" s="5"/>
    </row>
    <row r="369" spans="1:13" x14ac:dyDescent="0.55000000000000004">
      <c r="A369" s="6"/>
      <c r="B369" s="8">
        <f>A369-10</f>
        <v>-10</v>
      </c>
      <c r="C369" s="1">
        <f>J369/10*10^-3</f>
        <v>0</v>
      </c>
      <c r="E369" s="6">
        <f>F369-J369/4.186</f>
        <v>0</v>
      </c>
      <c r="F369" s="6"/>
      <c r="G369" s="8">
        <f>18/(4.86*5)</f>
        <v>0.7407407407407407</v>
      </c>
      <c r="J369" s="5"/>
      <c r="K369" s="7">
        <f>J369-I369</f>
        <v>0</v>
      </c>
      <c r="L369" s="6"/>
      <c r="M369" s="5"/>
    </row>
    <row r="370" spans="1:13" x14ac:dyDescent="0.55000000000000004">
      <c r="A370" s="6"/>
      <c r="B370" s="8">
        <f>A370-10</f>
        <v>-10</v>
      </c>
      <c r="C370" s="1">
        <f>J370/10*10^-3</f>
        <v>0</v>
      </c>
      <c r="E370" s="6">
        <f>F370-J370/4.186</f>
        <v>0</v>
      </c>
      <c r="F370" s="6"/>
      <c r="G370" s="8">
        <f>18/(4.86*5)</f>
        <v>0.7407407407407407</v>
      </c>
      <c r="J370" s="5"/>
      <c r="K370" s="7">
        <f>J370-I370</f>
        <v>0</v>
      </c>
      <c r="L370" s="6"/>
      <c r="M370" s="5"/>
    </row>
    <row r="371" spans="1:13" x14ac:dyDescent="0.55000000000000004">
      <c r="A371" s="6"/>
      <c r="B371" s="8">
        <f>A371-10</f>
        <v>-10</v>
      </c>
      <c r="C371" s="1">
        <f>J371/10*10^-3</f>
        <v>0</v>
      </c>
      <c r="E371" s="6">
        <f>F371-J371/4.186</f>
        <v>0</v>
      </c>
      <c r="F371" s="6"/>
      <c r="G371" s="8">
        <f>18/(4.86*5)</f>
        <v>0.7407407407407407</v>
      </c>
      <c r="J371" s="5"/>
      <c r="K371" s="7">
        <f>J371-I371</f>
        <v>0</v>
      </c>
      <c r="L371" s="6"/>
      <c r="M371" s="5"/>
    </row>
    <row r="372" spans="1:13" x14ac:dyDescent="0.55000000000000004">
      <c r="A372" s="6"/>
      <c r="B372" s="8">
        <f>A372-10</f>
        <v>-10</v>
      </c>
      <c r="C372" s="1">
        <f>J372/10*10^-3</f>
        <v>0</v>
      </c>
      <c r="E372" s="6">
        <f>F372-J372/4.186</f>
        <v>0</v>
      </c>
      <c r="F372" s="6"/>
      <c r="G372" s="8">
        <f>18/(4.86*5)</f>
        <v>0.7407407407407407</v>
      </c>
      <c r="J372" s="5"/>
      <c r="K372" s="7">
        <f>J372-I372</f>
        <v>0</v>
      </c>
      <c r="L372" s="6"/>
      <c r="M372" s="5"/>
    </row>
    <row r="373" spans="1:13" x14ac:dyDescent="0.55000000000000004">
      <c r="A373" s="6"/>
      <c r="B373" s="8">
        <f>A373-10</f>
        <v>-10</v>
      </c>
      <c r="C373" s="1">
        <f>J373/10*10^-3</f>
        <v>0</v>
      </c>
      <c r="E373" s="6">
        <f>F373-J373/4.186</f>
        <v>0</v>
      </c>
      <c r="F373" s="6"/>
      <c r="G373" s="8">
        <f>18/(4.86*5)</f>
        <v>0.7407407407407407</v>
      </c>
      <c r="J373" s="5"/>
      <c r="K373" s="7">
        <f>J373-I373</f>
        <v>0</v>
      </c>
      <c r="L373" s="6"/>
      <c r="M373" s="5"/>
    </row>
    <row r="374" spans="1:13" x14ac:dyDescent="0.55000000000000004">
      <c r="A374" s="6"/>
      <c r="B374" s="8">
        <f>A374-10</f>
        <v>-10</v>
      </c>
      <c r="C374" s="1">
        <f>J374/10*10^-3</f>
        <v>0</v>
      </c>
      <c r="E374" s="6">
        <f>F374-J374/4.186</f>
        <v>0</v>
      </c>
      <c r="F374" s="6"/>
      <c r="G374" s="8">
        <f>18/(4.86*5)</f>
        <v>0.7407407407407407</v>
      </c>
      <c r="J374" s="5"/>
      <c r="K374" s="7">
        <f>J374-I374</f>
        <v>0</v>
      </c>
      <c r="L374" s="6"/>
      <c r="M374" s="5"/>
    </row>
    <row r="375" spans="1:13" x14ac:dyDescent="0.55000000000000004">
      <c r="A375" s="6"/>
      <c r="B375" s="8">
        <f>A375-10</f>
        <v>-10</v>
      </c>
      <c r="C375" s="1">
        <f>J375/10*10^-3</f>
        <v>0</v>
      </c>
      <c r="E375" s="6">
        <f>F375-J375/4.186</f>
        <v>0</v>
      </c>
      <c r="F375" s="6"/>
      <c r="G375" s="8">
        <f>18/(4.86*5)</f>
        <v>0.7407407407407407</v>
      </c>
      <c r="J375" s="5"/>
      <c r="K375" s="7">
        <f>J375-I375</f>
        <v>0</v>
      </c>
      <c r="L375" s="6"/>
      <c r="M375" s="5"/>
    </row>
    <row r="376" spans="1:13" x14ac:dyDescent="0.55000000000000004">
      <c r="A376" s="6"/>
      <c r="B376" s="8">
        <f>A376-10</f>
        <v>-10</v>
      </c>
      <c r="C376" s="1">
        <f>J376/10*10^-3</f>
        <v>0</v>
      </c>
      <c r="E376" s="6">
        <f>F376-J376/4.186</f>
        <v>0</v>
      </c>
      <c r="F376" s="6"/>
      <c r="G376" s="8">
        <f>18/(4.86*5)</f>
        <v>0.7407407407407407</v>
      </c>
      <c r="J376" s="5"/>
      <c r="K376" s="7">
        <f>J376-I376</f>
        <v>0</v>
      </c>
      <c r="L376" s="6"/>
      <c r="M376" s="5"/>
    </row>
    <row r="377" spans="1:13" x14ac:dyDescent="0.55000000000000004">
      <c r="A377" s="6"/>
      <c r="B377" s="8">
        <f>A377-10</f>
        <v>-10</v>
      </c>
      <c r="C377" s="1">
        <f>J377/10*10^-3</f>
        <v>0</v>
      </c>
      <c r="E377" s="6">
        <f>F377-J377/4.186</f>
        <v>0</v>
      </c>
      <c r="F377" s="6"/>
      <c r="G377" s="8">
        <f>18/(4.86*5)</f>
        <v>0.7407407407407407</v>
      </c>
      <c r="J377" s="5"/>
      <c r="K377" s="7">
        <f>J377-I377</f>
        <v>0</v>
      </c>
      <c r="L377" s="6"/>
      <c r="M377" s="5"/>
    </row>
    <row r="378" spans="1:13" x14ac:dyDescent="0.55000000000000004">
      <c r="A378" s="6"/>
      <c r="B378" s="8">
        <f>A378-10</f>
        <v>-10</v>
      </c>
      <c r="C378" s="1">
        <f>J378/10*10^-3</f>
        <v>0</v>
      </c>
      <c r="E378" s="6">
        <f>F378-J378/4.186</f>
        <v>0</v>
      </c>
      <c r="F378" s="6"/>
      <c r="G378" s="8">
        <f>18/(4.86*5)</f>
        <v>0.7407407407407407</v>
      </c>
      <c r="J378" s="5"/>
      <c r="K378" s="7">
        <f>J378-I378</f>
        <v>0</v>
      </c>
      <c r="L378" s="6"/>
      <c r="M378" s="5"/>
    </row>
    <row r="379" spans="1:13" x14ac:dyDescent="0.55000000000000004">
      <c r="A379" s="6"/>
      <c r="B379" s="8">
        <f>A379-10</f>
        <v>-10</v>
      </c>
      <c r="C379" s="1">
        <f>J379/10*10^-3</f>
        <v>0</v>
      </c>
      <c r="E379" s="6">
        <f>F379-J379/4.186</f>
        <v>0</v>
      </c>
      <c r="F379" s="6"/>
      <c r="G379" s="8">
        <f>18/(4.86*5)</f>
        <v>0.7407407407407407</v>
      </c>
      <c r="J379" s="5"/>
      <c r="K379" s="7">
        <f>J379-I379</f>
        <v>0</v>
      </c>
      <c r="L379" s="6"/>
      <c r="M379" s="5"/>
    </row>
    <row r="380" spans="1:13" x14ac:dyDescent="0.55000000000000004">
      <c r="A380" s="6"/>
      <c r="B380" s="8">
        <f>A380-10</f>
        <v>-10</v>
      </c>
      <c r="C380" s="1">
        <f>J380/10*10^-3</f>
        <v>0</v>
      </c>
      <c r="E380" s="6">
        <f>F380-J380/4.186</f>
        <v>0</v>
      </c>
      <c r="F380" s="6"/>
      <c r="G380" s="8">
        <f>18/(4.86*5)</f>
        <v>0.7407407407407407</v>
      </c>
      <c r="J380" s="5"/>
      <c r="K380" s="7">
        <f>J380-I380</f>
        <v>0</v>
      </c>
      <c r="L380" s="6"/>
      <c r="M380" s="5"/>
    </row>
    <row r="381" spans="1:13" x14ac:dyDescent="0.55000000000000004">
      <c r="A381" s="6"/>
      <c r="B381" s="8">
        <f>A381-10</f>
        <v>-10</v>
      </c>
      <c r="C381" s="1">
        <f>J381/10*10^-3</f>
        <v>0</v>
      </c>
      <c r="E381" s="6">
        <f>F381-J381/4.186</f>
        <v>0</v>
      </c>
      <c r="F381" s="6"/>
      <c r="G381" s="8">
        <f>18/(4.86*5)</f>
        <v>0.7407407407407407</v>
      </c>
      <c r="J381" s="5"/>
      <c r="K381" s="7">
        <f>J381-I381</f>
        <v>0</v>
      </c>
      <c r="L381" s="6"/>
      <c r="M381" s="5"/>
    </row>
    <row r="382" spans="1:13" x14ac:dyDescent="0.55000000000000004">
      <c r="A382" s="6"/>
      <c r="B382" s="8">
        <f>A382-10</f>
        <v>-10</v>
      </c>
      <c r="C382" s="1">
        <f>J382/10*10^-3</f>
        <v>0</v>
      </c>
      <c r="E382" s="6">
        <f>F382-J382/4.186</f>
        <v>0</v>
      </c>
      <c r="F382" s="6"/>
      <c r="G382" s="8">
        <f>18/(4.86*5)</f>
        <v>0.7407407407407407</v>
      </c>
      <c r="J382" s="5"/>
      <c r="K382" s="7">
        <f>J382-I382</f>
        <v>0</v>
      </c>
      <c r="L382" s="6"/>
      <c r="M382" s="5"/>
    </row>
    <row r="383" spans="1:13" x14ac:dyDescent="0.55000000000000004">
      <c r="A383" s="6"/>
      <c r="B383" s="8">
        <f>A383-10</f>
        <v>-10</v>
      </c>
      <c r="C383" s="1">
        <f>J383/10*10^-3</f>
        <v>0</v>
      </c>
      <c r="E383" s="6">
        <f>F383-J383/4.186</f>
        <v>0</v>
      </c>
      <c r="F383" s="6"/>
      <c r="G383" s="8">
        <f>18/(4.86*5)</f>
        <v>0.7407407407407407</v>
      </c>
      <c r="J383" s="5"/>
      <c r="K383" s="7">
        <f>J383-I383</f>
        <v>0</v>
      </c>
      <c r="L383" s="6"/>
      <c r="M383" s="5"/>
    </row>
    <row r="384" spans="1:13" x14ac:dyDescent="0.55000000000000004">
      <c r="A384" s="6"/>
      <c r="B384" s="8">
        <f>A384-10</f>
        <v>-10</v>
      </c>
      <c r="C384" s="1">
        <f>J384/10*10^-3</f>
        <v>0</v>
      </c>
      <c r="E384" s="6">
        <f>F384-J384/4.186</f>
        <v>0</v>
      </c>
      <c r="F384" s="6"/>
      <c r="G384" s="8">
        <f>18/(4.86*5)</f>
        <v>0.7407407407407407</v>
      </c>
      <c r="J384" s="5"/>
      <c r="K384" s="7">
        <f>J384-I384</f>
        <v>0</v>
      </c>
      <c r="L384" s="6"/>
      <c r="M384" s="5"/>
    </row>
    <row r="385" spans="1:13" x14ac:dyDescent="0.55000000000000004">
      <c r="A385" s="6"/>
      <c r="B385" s="8">
        <f>A385-10</f>
        <v>-10</v>
      </c>
      <c r="C385" s="1">
        <f>J385/10*10^-3</f>
        <v>0</v>
      </c>
      <c r="E385" s="6">
        <f>F385-J385/4.186</f>
        <v>0</v>
      </c>
      <c r="F385" s="6"/>
      <c r="G385" s="8">
        <f>18/(4.86*5)</f>
        <v>0.7407407407407407</v>
      </c>
      <c r="J385" s="5"/>
      <c r="K385" s="7">
        <f>J385-I385</f>
        <v>0</v>
      </c>
      <c r="L385" s="6"/>
      <c r="M385" s="5"/>
    </row>
    <row r="386" spans="1:13" x14ac:dyDescent="0.55000000000000004">
      <c r="A386" s="6"/>
      <c r="B386" s="8">
        <f>A386-10</f>
        <v>-10</v>
      </c>
      <c r="C386" s="1">
        <f>J386/10*10^-3</f>
        <v>0</v>
      </c>
      <c r="E386" s="6">
        <f>F386-J386/4.186</f>
        <v>0</v>
      </c>
      <c r="F386" s="6"/>
      <c r="G386" s="8">
        <f>18/(4.86*5)</f>
        <v>0.7407407407407407</v>
      </c>
      <c r="J386" s="5"/>
      <c r="K386" s="7">
        <f>J386-I386</f>
        <v>0</v>
      </c>
      <c r="L386" s="6"/>
      <c r="M386" s="5"/>
    </row>
    <row r="387" spans="1:13" x14ac:dyDescent="0.55000000000000004">
      <c r="A387" s="6"/>
      <c r="B387" s="8">
        <f>A387-10</f>
        <v>-10</v>
      </c>
      <c r="C387" s="1">
        <f>J387/10*10^-3</f>
        <v>0</v>
      </c>
      <c r="E387" s="6">
        <f>F387-J387/4.186</f>
        <v>0</v>
      </c>
      <c r="F387" s="6"/>
      <c r="G387" s="8">
        <f>18/(4.86*5)</f>
        <v>0.7407407407407407</v>
      </c>
      <c r="J387" s="5"/>
      <c r="K387" s="7">
        <f>J387-I387</f>
        <v>0</v>
      </c>
      <c r="L387" s="6"/>
      <c r="M387" s="5"/>
    </row>
    <row r="388" spans="1:13" x14ac:dyDescent="0.55000000000000004">
      <c r="A388" s="6"/>
      <c r="B388" s="8">
        <f>A388-10</f>
        <v>-10</v>
      </c>
      <c r="C388" s="1">
        <f>J388/10*10^-3</f>
        <v>0</v>
      </c>
      <c r="E388" s="6">
        <f>F388-J388/4.186</f>
        <v>0</v>
      </c>
      <c r="F388" s="6"/>
      <c r="G388" s="8">
        <f>18/(4.86*5)</f>
        <v>0.7407407407407407</v>
      </c>
      <c r="J388" s="5"/>
      <c r="K388" s="7">
        <f>J388-I388</f>
        <v>0</v>
      </c>
      <c r="L388" s="6"/>
      <c r="M388" s="5"/>
    </row>
    <row r="389" spans="1:13" x14ac:dyDescent="0.55000000000000004">
      <c r="A389" s="6"/>
      <c r="B389" s="8">
        <f>A389-10</f>
        <v>-10</v>
      </c>
      <c r="C389" s="1">
        <f>J389/10*10^-3</f>
        <v>0</v>
      </c>
      <c r="E389" s="6">
        <f>F389-J389/4.186</f>
        <v>0</v>
      </c>
      <c r="F389" s="6"/>
      <c r="G389" s="8">
        <f>18/(4.86*5)</f>
        <v>0.7407407407407407</v>
      </c>
      <c r="J389" s="5"/>
      <c r="K389" s="7">
        <f>J389-I389</f>
        <v>0</v>
      </c>
      <c r="L389" s="6"/>
      <c r="M389" s="5"/>
    </row>
    <row r="390" spans="1:13" x14ac:dyDescent="0.55000000000000004">
      <c r="A390" s="6"/>
      <c r="B390" s="8">
        <f>A390-10</f>
        <v>-10</v>
      </c>
      <c r="C390" s="1">
        <f>J390/10*10^-3</f>
        <v>0</v>
      </c>
      <c r="E390" s="6">
        <f>F390-J390/4.186</f>
        <v>0</v>
      </c>
      <c r="F390" s="6"/>
      <c r="G390" s="8">
        <f>18/(4.86*5)</f>
        <v>0.7407407407407407</v>
      </c>
      <c r="J390" s="5"/>
      <c r="K390" s="7">
        <f>J390-I390</f>
        <v>0</v>
      </c>
      <c r="L390" s="6"/>
      <c r="M390" s="5"/>
    </row>
    <row r="391" spans="1:13" x14ac:dyDescent="0.55000000000000004">
      <c r="A391" s="6"/>
      <c r="B391" s="8">
        <f>A391-10</f>
        <v>-10</v>
      </c>
      <c r="C391" s="1">
        <f>J391/10*10^-3</f>
        <v>0</v>
      </c>
      <c r="E391" s="6">
        <f>F391-J391/4.186</f>
        <v>0</v>
      </c>
      <c r="F391" s="6"/>
      <c r="G391" s="8">
        <f>18/(4.86*5)</f>
        <v>0.7407407407407407</v>
      </c>
      <c r="J391" s="5"/>
      <c r="K391" s="7">
        <f>J391-I391</f>
        <v>0</v>
      </c>
      <c r="L391" s="6"/>
      <c r="M391" s="5"/>
    </row>
    <row r="392" spans="1:13" x14ac:dyDescent="0.55000000000000004">
      <c r="A392" s="6"/>
      <c r="B392" s="8">
        <f>A392-10</f>
        <v>-10</v>
      </c>
      <c r="C392" s="1">
        <f>J392/10*10^-3</f>
        <v>0</v>
      </c>
      <c r="E392" s="6">
        <f>F392-J392/4.186</f>
        <v>0</v>
      </c>
      <c r="F392" s="6"/>
      <c r="G392" s="8">
        <f>18/(4.86*5)</f>
        <v>0.7407407407407407</v>
      </c>
      <c r="J392" s="5"/>
      <c r="K392" s="7">
        <f>J392-I392</f>
        <v>0</v>
      </c>
      <c r="L392" s="6"/>
      <c r="M392" s="5"/>
    </row>
    <row r="393" spans="1:13" x14ac:dyDescent="0.55000000000000004">
      <c r="A393" s="6"/>
      <c r="B393" s="8">
        <f>A393-10</f>
        <v>-10</v>
      </c>
      <c r="C393" s="1">
        <f>J393/10*10^-3</f>
        <v>0</v>
      </c>
      <c r="E393" s="6">
        <f>F393-J393/4.186</f>
        <v>0</v>
      </c>
      <c r="F393" s="6"/>
      <c r="G393" s="8">
        <f>18/(4.86*5)</f>
        <v>0.7407407407407407</v>
      </c>
      <c r="J393" s="5"/>
      <c r="K393" s="7">
        <f>J393-I393</f>
        <v>0</v>
      </c>
      <c r="L393" s="6"/>
      <c r="M393" s="5"/>
    </row>
    <row r="394" spans="1:13" x14ac:dyDescent="0.55000000000000004">
      <c r="A394" s="6"/>
      <c r="B394" s="8">
        <f>A394-10</f>
        <v>-10</v>
      </c>
      <c r="C394" s="1">
        <f>J394/10*10^-3</f>
        <v>0</v>
      </c>
      <c r="E394" s="6">
        <f>F394-J394/4.186</f>
        <v>0</v>
      </c>
      <c r="F394" s="6"/>
      <c r="G394" s="8">
        <f>18/(4.86*5)</f>
        <v>0.7407407407407407</v>
      </c>
      <c r="J394" s="5"/>
      <c r="K394" s="7">
        <f>J394-I394</f>
        <v>0</v>
      </c>
      <c r="L394" s="6"/>
      <c r="M394" s="5"/>
    </row>
    <row r="395" spans="1:13" x14ac:dyDescent="0.55000000000000004">
      <c r="A395" s="6"/>
      <c r="B395" s="8">
        <f>A395-10</f>
        <v>-10</v>
      </c>
      <c r="C395" s="1">
        <f>J395/10*10^-3</f>
        <v>0</v>
      </c>
      <c r="E395" s="6">
        <f>F395-J395/4.186</f>
        <v>0</v>
      </c>
      <c r="F395" s="6"/>
      <c r="G395" s="8">
        <f>18/(4.86*5)</f>
        <v>0.7407407407407407</v>
      </c>
      <c r="J395" s="5"/>
      <c r="K395" s="7">
        <f>J395-I395</f>
        <v>0</v>
      </c>
      <c r="L395" s="6"/>
      <c r="M395" s="5"/>
    </row>
    <row r="396" spans="1:13" x14ac:dyDescent="0.55000000000000004">
      <c r="A396" s="6"/>
      <c r="B396" s="8">
        <f>A396-10</f>
        <v>-10</v>
      </c>
      <c r="C396" s="1">
        <f>J396/10*10^-3</f>
        <v>0</v>
      </c>
      <c r="E396" s="6">
        <f>F396-J396/4.186</f>
        <v>0</v>
      </c>
      <c r="F396" s="6"/>
      <c r="G396" s="8">
        <f>18/(4.86*5)</f>
        <v>0.7407407407407407</v>
      </c>
      <c r="J396" s="5"/>
      <c r="K396" s="7">
        <f>J396-I396</f>
        <v>0</v>
      </c>
      <c r="L396" s="6"/>
      <c r="M396" s="5"/>
    </row>
    <row r="397" spans="1:13" x14ac:dyDescent="0.55000000000000004">
      <c r="A397" s="6"/>
      <c r="B397" s="8">
        <f>A397-10</f>
        <v>-10</v>
      </c>
      <c r="C397" s="1">
        <f>J397/10*10^-3</f>
        <v>0</v>
      </c>
      <c r="E397" s="6">
        <f>F397-J397/4.186</f>
        <v>0</v>
      </c>
      <c r="F397" s="6"/>
      <c r="G397" s="8">
        <f>18/(4.86*5)</f>
        <v>0.7407407407407407</v>
      </c>
      <c r="J397" s="5"/>
      <c r="K397" s="7">
        <f>J397-I397</f>
        <v>0</v>
      </c>
      <c r="L397" s="6"/>
      <c r="M397" s="5"/>
    </row>
    <row r="398" spans="1:13" x14ac:dyDescent="0.55000000000000004">
      <c r="A398" s="6"/>
      <c r="B398" s="8">
        <f>A398-10</f>
        <v>-10</v>
      </c>
      <c r="C398" s="1">
        <f>J398/10*10^-3</f>
        <v>0</v>
      </c>
      <c r="E398" s="6">
        <f>F398-J398/4.186</f>
        <v>0</v>
      </c>
      <c r="F398" s="6"/>
      <c r="G398" s="8">
        <f>18/(4.86*5)</f>
        <v>0.7407407407407407</v>
      </c>
      <c r="J398" s="5"/>
      <c r="K398" s="7">
        <f>J398-I398</f>
        <v>0</v>
      </c>
      <c r="L398" s="6"/>
      <c r="M398" s="5"/>
    </row>
    <row r="399" spans="1:13" x14ac:dyDescent="0.55000000000000004">
      <c r="A399" s="6"/>
      <c r="B399" s="8">
        <f>A399-10</f>
        <v>-10</v>
      </c>
      <c r="C399" s="1">
        <f>J399/10*10^-3</f>
        <v>0</v>
      </c>
      <c r="E399" s="6">
        <f>F399-J399/4.186</f>
        <v>0</v>
      </c>
      <c r="F399" s="6"/>
      <c r="G399" s="8">
        <f>18/(4.86*5)</f>
        <v>0.7407407407407407</v>
      </c>
      <c r="J399" s="5"/>
      <c r="K399" s="7">
        <f>J399-I399</f>
        <v>0</v>
      </c>
      <c r="L399" s="6"/>
      <c r="M399" s="5"/>
    </row>
    <row r="400" spans="1:13" x14ac:dyDescent="0.55000000000000004">
      <c r="A400" s="6"/>
      <c r="B400" s="8">
        <f>A400-10</f>
        <v>-10</v>
      </c>
      <c r="C400" s="1">
        <f>J400/10*10^-3</f>
        <v>0</v>
      </c>
      <c r="E400" s="6">
        <f>F400-J400/4.186</f>
        <v>0</v>
      </c>
      <c r="F400" s="6"/>
      <c r="G400" s="8">
        <f>18/(4.86*5)</f>
        <v>0.7407407407407407</v>
      </c>
      <c r="J400" s="5"/>
      <c r="K400" s="7">
        <f>J400-I400</f>
        <v>0</v>
      </c>
      <c r="L400" s="6"/>
      <c r="M400" s="5"/>
    </row>
    <row r="401" spans="1:13" x14ac:dyDescent="0.55000000000000004">
      <c r="A401" s="6"/>
      <c r="B401" s="8">
        <f>A401-10</f>
        <v>-10</v>
      </c>
      <c r="C401" s="1">
        <f>J401/10*10^-3</f>
        <v>0</v>
      </c>
      <c r="E401" s="6">
        <f>F401-J401/4.186</f>
        <v>0</v>
      </c>
      <c r="F401" s="6"/>
      <c r="G401" s="8">
        <f>18/(4.86*5)</f>
        <v>0.7407407407407407</v>
      </c>
      <c r="J401" s="5"/>
      <c r="K401" s="7">
        <f>J401-I401</f>
        <v>0</v>
      </c>
      <c r="L401" s="6"/>
      <c r="M401" s="5"/>
    </row>
    <row r="402" spans="1:13" x14ac:dyDescent="0.55000000000000004">
      <c r="A402" s="6"/>
      <c r="B402" s="8">
        <f>A402-10</f>
        <v>-10</v>
      </c>
      <c r="C402" s="1">
        <f>J402/10*10^-3</f>
        <v>0</v>
      </c>
      <c r="E402" s="6">
        <f>F402-J402/4.186</f>
        <v>0</v>
      </c>
      <c r="F402" s="6"/>
      <c r="G402" s="8">
        <f>18/(4.86*5)</f>
        <v>0.7407407407407407</v>
      </c>
      <c r="J402" s="5"/>
      <c r="K402" s="7">
        <f>J402-I402</f>
        <v>0</v>
      </c>
      <c r="L402" s="6"/>
      <c r="M402" s="5"/>
    </row>
    <row r="403" spans="1:13" x14ac:dyDescent="0.55000000000000004">
      <c r="A403" s="6"/>
      <c r="B403" s="8">
        <f>A403-10</f>
        <v>-10</v>
      </c>
      <c r="C403" s="1">
        <f>J403/10*10^-3</f>
        <v>0</v>
      </c>
      <c r="E403" s="6">
        <f>F403-J403/4.186</f>
        <v>0</v>
      </c>
      <c r="F403" s="6"/>
      <c r="G403" s="8">
        <f>18/(4.86*5)</f>
        <v>0.7407407407407407</v>
      </c>
      <c r="J403" s="5"/>
      <c r="K403" s="7">
        <f>J403-I403</f>
        <v>0</v>
      </c>
      <c r="L403" s="6"/>
      <c r="M403" s="5"/>
    </row>
    <row r="404" spans="1:13" x14ac:dyDescent="0.55000000000000004">
      <c r="A404" s="6"/>
      <c r="B404" s="8">
        <f>A404-10</f>
        <v>-10</v>
      </c>
      <c r="C404" s="1">
        <f>J404/10*10^-3</f>
        <v>0</v>
      </c>
      <c r="E404" s="6">
        <f>F404-J404/4.186</f>
        <v>0</v>
      </c>
      <c r="F404" s="6"/>
      <c r="G404" s="8">
        <f>18/(4.86*5)</f>
        <v>0.7407407407407407</v>
      </c>
      <c r="J404" s="5"/>
      <c r="K404" s="7">
        <f>J404-I404</f>
        <v>0</v>
      </c>
      <c r="L404" s="6"/>
      <c r="M404" s="5"/>
    </row>
    <row r="405" spans="1:13" x14ac:dyDescent="0.55000000000000004">
      <c r="A405" s="6"/>
      <c r="B405" s="8">
        <f>A405-10</f>
        <v>-10</v>
      </c>
      <c r="C405" s="1">
        <f>J405/10*10^-3</f>
        <v>0</v>
      </c>
      <c r="E405" s="6">
        <f>F405-J405/4.186</f>
        <v>0</v>
      </c>
      <c r="F405" s="6"/>
      <c r="G405" s="8">
        <f>18/(4.86*5)</f>
        <v>0.7407407407407407</v>
      </c>
      <c r="J405" s="5"/>
      <c r="K405" s="7">
        <f>J405-I405</f>
        <v>0</v>
      </c>
      <c r="L405" s="6"/>
      <c r="M405" s="5"/>
    </row>
    <row r="406" spans="1:13" x14ac:dyDescent="0.55000000000000004">
      <c r="A406" s="6"/>
      <c r="B406" s="8">
        <f>A406-10</f>
        <v>-10</v>
      </c>
      <c r="C406" s="1">
        <f>J406/10*10^-3</f>
        <v>0</v>
      </c>
      <c r="E406" s="6">
        <f>F406-J406/4.186</f>
        <v>0</v>
      </c>
      <c r="F406" s="6"/>
      <c r="G406" s="8">
        <f>18/(4.86*5)</f>
        <v>0.7407407407407407</v>
      </c>
      <c r="J406" s="5"/>
      <c r="K406" s="7">
        <f>J406-I406</f>
        <v>0</v>
      </c>
      <c r="L406" s="6"/>
      <c r="M406" s="5"/>
    </row>
    <row r="407" spans="1:13" x14ac:dyDescent="0.55000000000000004">
      <c r="A407" s="6"/>
      <c r="B407" s="8">
        <f>A407-10</f>
        <v>-10</v>
      </c>
      <c r="C407" s="1">
        <f>J407/10*10^-3</f>
        <v>0</v>
      </c>
      <c r="E407" s="6">
        <f>F407-J407/4.186</f>
        <v>0</v>
      </c>
      <c r="F407" s="6"/>
      <c r="G407" s="8">
        <f>18/(4.86*5)</f>
        <v>0.7407407407407407</v>
      </c>
      <c r="J407" s="5"/>
      <c r="K407" s="7">
        <f>J407-I407</f>
        <v>0</v>
      </c>
      <c r="L407" s="6"/>
      <c r="M407" s="5"/>
    </row>
    <row r="408" spans="1:13" x14ac:dyDescent="0.55000000000000004">
      <c r="A408" s="6"/>
      <c r="B408" s="8">
        <f>A408-10</f>
        <v>-10</v>
      </c>
      <c r="C408" s="1">
        <f>J408/10*10^-3</f>
        <v>0</v>
      </c>
      <c r="E408" s="6">
        <f>F408-J408/4.186</f>
        <v>0</v>
      </c>
      <c r="F408" s="6"/>
      <c r="G408" s="8">
        <f>18/(4.86*5)</f>
        <v>0.7407407407407407</v>
      </c>
      <c r="J408" s="5"/>
      <c r="K408" s="7">
        <f>J408-I408</f>
        <v>0</v>
      </c>
      <c r="L408" s="6"/>
      <c r="M408" s="5"/>
    </row>
    <row r="409" spans="1:13" x14ac:dyDescent="0.55000000000000004">
      <c r="A409" s="6"/>
      <c r="B409" s="8">
        <f>A409-10</f>
        <v>-10</v>
      </c>
      <c r="C409" s="1">
        <f>J409/10*10^-3</f>
        <v>0</v>
      </c>
      <c r="E409" s="6">
        <f>F409-J409/4.186</f>
        <v>0</v>
      </c>
      <c r="F409" s="6"/>
      <c r="G409" s="8">
        <f>18/(4.86*5)</f>
        <v>0.7407407407407407</v>
      </c>
      <c r="J409" s="5"/>
      <c r="K409" s="7">
        <f>J409-I409</f>
        <v>0</v>
      </c>
      <c r="L409" s="6"/>
      <c r="M409" s="5"/>
    </row>
    <row r="410" spans="1:13" x14ac:dyDescent="0.55000000000000004">
      <c r="A410" s="6"/>
      <c r="B410" s="8">
        <f>A410-10</f>
        <v>-10</v>
      </c>
      <c r="C410" s="1">
        <f>J410/10*10^-3</f>
        <v>0</v>
      </c>
      <c r="E410" s="6">
        <f>F410-J410/4.186</f>
        <v>0</v>
      </c>
      <c r="F410" s="6"/>
      <c r="G410" s="8">
        <f>18/(4.86*5)</f>
        <v>0.7407407407407407</v>
      </c>
      <c r="J410" s="5"/>
      <c r="K410" s="7">
        <f>J410-I410</f>
        <v>0</v>
      </c>
      <c r="L410" s="6"/>
      <c r="M410" s="5"/>
    </row>
    <row r="411" spans="1:13" x14ac:dyDescent="0.55000000000000004">
      <c r="A411" s="6"/>
      <c r="B411" s="8">
        <f>A411-10</f>
        <v>-10</v>
      </c>
      <c r="C411" s="1">
        <f>J411/10*10^-3</f>
        <v>0</v>
      </c>
      <c r="E411" s="6">
        <f>F411-J411/4.186</f>
        <v>0</v>
      </c>
      <c r="F411" s="6"/>
      <c r="G411" s="8">
        <f>18/(4.86*5)</f>
        <v>0.7407407407407407</v>
      </c>
      <c r="J411" s="5"/>
      <c r="K411" s="7">
        <f>J411-I411</f>
        <v>0</v>
      </c>
      <c r="L411" s="6"/>
      <c r="M411" s="5"/>
    </row>
    <row r="412" spans="1:13" x14ac:dyDescent="0.55000000000000004">
      <c r="A412" s="6"/>
      <c r="B412" s="8">
        <f>A412-10</f>
        <v>-10</v>
      </c>
      <c r="C412" s="1">
        <f>J412/10*10^-3</f>
        <v>0</v>
      </c>
      <c r="E412" s="6">
        <f>F412-J412/4.186</f>
        <v>0</v>
      </c>
      <c r="F412" s="6"/>
      <c r="G412" s="8">
        <f>18/(4.86*5)</f>
        <v>0.7407407407407407</v>
      </c>
      <c r="J412" s="5"/>
      <c r="K412" s="7">
        <f>J412-I412</f>
        <v>0</v>
      </c>
      <c r="L412" s="6"/>
      <c r="M412" s="5"/>
    </row>
    <row r="413" spans="1:13" x14ac:dyDescent="0.55000000000000004">
      <c r="A413" s="6"/>
      <c r="B413" s="8">
        <f>A413-10</f>
        <v>-10</v>
      </c>
      <c r="C413" s="1">
        <f>J413/10*10^-3</f>
        <v>0</v>
      </c>
      <c r="E413" s="6">
        <f>F413-J413/4.186</f>
        <v>0</v>
      </c>
      <c r="F413" s="6"/>
      <c r="G413" s="8">
        <f>18/(4.86*5)</f>
        <v>0.7407407407407407</v>
      </c>
      <c r="J413" s="5"/>
      <c r="K413" s="7">
        <f>J413-I413</f>
        <v>0</v>
      </c>
      <c r="L413" s="6"/>
      <c r="M413" s="5"/>
    </row>
    <row r="414" spans="1:13" x14ac:dyDescent="0.55000000000000004">
      <c r="A414" s="6"/>
      <c r="B414" s="8">
        <f>A414-10</f>
        <v>-10</v>
      </c>
      <c r="C414" s="1">
        <f>J414/10*10^-3</f>
        <v>0</v>
      </c>
      <c r="E414" s="6">
        <f>F414-J414/4.186</f>
        <v>0</v>
      </c>
      <c r="F414" s="6"/>
      <c r="G414" s="8">
        <f>18/(4.86*5)</f>
        <v>0.7407407407407407</v>
      </c>
      <c r="J414" s="5"/>
      <c r="K414" s="7">
        <f>J414-I414</f>
        <v>0</v>
      </c>
      <c r="L414" s="6"/>
      <c r="M414" s="5"/>
    </row>
    <row r="415" spans="1:13" x14ac:dyDescent="0.55000000000000004">
      <c r="A415" s="6"/>
      <c r="B415" s="8">
        <f>A415-10</f>
        <v>-10</v>
      </c>
      <c r="C415" s="1">
        <f>J415/10*10^-3</f>
        <v>0</v>
      </c>
      <c r="E415" s="6">
        <f>F415-J415/4.186</f>
        <v>0</v>
      </c>
      <c r="F415" s="6"/>
      <c r="G415" s="8">
        <f>18/(4.86*5)</f>
        <v>0.7407407407407407</v>
      </c>
      <c r="J415" s="5"/>
      <c r="K415" s="7">
        <f>J415-I415</f>
        <v>0</v>
      </c>
      <c r="L415" s="6"/>
      <c r="M415" s="5"/>
    </row>
    <row r="416" spans="1:13" x14ac:dyDescent="0.55000000000000004">
      <c r="A416" s="6"/>
      <c r="B416" s="8">
        <f>A416-10</f>
        <v>-10</v>
      </c>
      <c r="C416" s="1">
        <f>J416/10*10^-3</f>
        <v>0</v>
      </c>
      <c r="E416" s="6">
        <f>F416-J416/4.186</f>
        <v>0</v>
      </c>
      <c r="F416" s="6"/>
      <c r="G416" s="8">
        <f>18/(4.86*5)</f>
        <v>0.7407407407407407</v>
      </c>
      <c r="J416" s="5"/>
      <c r="K416" s="7">
        <f>J416-I416</f>
        <v>0</v>
      </c>
      <c r="L416" s="6"/>
      <c r="M416" s="5"/>
    </row>
    <row r="417" spans="1:13" x14ac:dyDescent="0.55000000000000004">
      <c r="A417" s="6"/>
      <c r="B417" s="8">
        <f>A417-10</f>
        <v>-10</v>
      </c>
      <c r="C417" s="1">
        <f>J417/10*10^-3</f>
        <v>0</v>
      </c>
      <c r="E417" s="6">
        <f>F417-J417/4.186</f>
        <v>0</v>
      </c>
      <c r="F417" s="6"/>
      <c r="G417" s="8">
        <f>18/(4.86*5)</f>
        <v>0.7407407407407407</v>
      </c>
      <c r="J417" s="5"/>
      <c r="K417" s="7">
        <f>J417-I417</f>
        <v>0</v>
      </c>
      <c r="L417" s="6"/>
      <c r="M417" s="5"/>
    </row>
    <row r="418" spans="1:13" x14ac:dyDescent="0.55000000000000004">
      <c r="A418" s="6"/>
      <c r="B418" s="8">
        <f>A418-10</f>
        <v>-10</v>
      </c>
      <c r="C418" s="1">
        <f>J418/10*10^-3</f>
        <v>0</v>
      </c>
      <c r="E418" s="6">
        <f>F418-J418/4.186</f>
        <v>0</v>
      </c>
      <c r="F418" s="6"/>
      <c r="G418" s="8">
        <f>18/(4.86*5)</f>
        <v>0.7407407407407407</v>
      </c>
      <c r="J418" s="5"/>
      <c r="K418" s="7">
        <f>J418-I418</f>
        <v>0</v>
      </c>
      <c r="L418" s="6"/>
      <c r="M418" s="5"/>
    </row>
    <row r="419" spans="1:13" x14ac:dyDescent="0.55000000000000004">
      <c r="A419" s="6"/>
      <c r="B419" s="8">
        <f>A419-10</f>
        <v>-10</v>
      </c>
      <c r="C419" s="1">
        <f>J419/10*10^-3</f>
        <v>0</v>
      </c>
      <c r="E419" s="6">
        <f>F419-J419/4.186</f>
        <v>0</v>
      </c>
      <c r="F419" s="6"/>
      <c r="G419" s="8">
        <f>18/(4.86*5)</f>
        <v>0.7407407407407407</v>
      </c>
      <c r="J419" s="5"/>
      <c r="K419" s="7">
        <f>J419-I419</f>
        <v>0</v>
      </c>
      <c r="L419" s="6"/>
      <c r="M419" s="5"/>
    </row>
    <row r="420" spans="1:13" x14ac:dyDescent="0.55000000000000004">
      <c r="A420" s="6"/>
      <c r="B420" s="8">
        <f>A420-10</f>
        <v>-10</v>
      </c>
      <c r="C420" s="1">
        <f>J420/10*10^-3</f>
        <v>0</v>
      </c>
      <c r="E420" s="6">
        <f>F420-J420/4.186</f>
        <v>0</v>
      </c>
      <c r="F420" s="6"/>
      <c r="G420" s="8">
        <f>18/(4.86*5)</f>
        <v>0.7407407407407407</v>
      </c>
      <c r="J420" s="5"/>
      <c r="K420" s="7">
        <f>J420-I420</f>
        <v>0</v>
      </c>
      <c r="L420" s="6"/>
      <c r="M420" s="5"/>
    </row>
    <row r="421" spans="1:13" x14ac:dyDescent="0.55000000000000004">
      <c r="A421" s="6"/>
      <c r="B421" s="8">
        <f>A421-10</f>
        <v>-10</v>
      </c>
      <c r="C421" s="1">
        <f>J421/10*10^-3</f>
        <v>0</v>
      </c>
      <c r="E421" s="6">
        <f>F421-J421/4.186</f>
        <v>0</v>
      </c>
      <c r="F421" s="6"/>
      <c r="G421" s="8">
        <f>18/(4.86*5)</f>
        <v>0.7407407407407407</v>
      </c>
      <c r="J421" s="5"/>
      <c r="K421" s="7">
        <f>J421-I421</f>
        <v>0</v>
      </c>
      <c r="L421" s="6"/>
      <c r="M421" s="5"/>
    </row>
    <row r="422" spans="1:13" x14ac:dyDescent="0.55000000000000004">
      <c r="A422" s="6"/>
      <c r="B422" s="8">
        <f>A422-10</f>
        <v>-10</v>
      </c>
      <c r="C422" s="1">
        <f>J422/10*10^-3</f>
        <v>0</v>
      </c>
      <c r="E422" s="6">
        <f>F422-J422/4.186</f>
        <v>0</v>
      </c>
      <c r="F422" s="6"/>
      <c r="G422" s="8">
        <f>18/(4.86*5)</f>
        <v>0.7407407407407407</v>
      </c>
      <c r="J422" s="5"/>
      <c r="K422" s="7">
        <f>J422-I422</f>
        <v>0</v>
      </c>
      <c r="L422" s="6"/>
      <c r="M422" s="5"/>
    </row>
    <row r="423" spans="1:13" x14ac:dyDescent="0.55000000000000004">
      <c r="A423" s="6"/>
      <c r="B423" s="8">
        <f>A423-10</f>
        <v>-10</v>
      </c>
      <c r="C423" s="1">
        <f>J423/10*10^-3</f>
        <v>0</v>
      </c>
      <c r="E423" s="6">
        <f>F423-J423/4.186</f>
        <v>0</v>
      </c>
      <c r="F423" s="6"/>
      <c r="G423" s="8">
        <f>18/(4.86*5)</f>
        <v>0.7407407407407407</v>
      </c>
      <c r="J423" s="5"/>
      <c r="K423" s="7">
        <f>J423-I423</f>
        <v>0</v>
      </c>
      <c r="L423" s="6"/>
      <c r="M423" s="5"/>
    </row>
    <row r="424" spans="1:13" x14ac:dyDescent="0.55000000000000004">
      <c r="A424" s="6"/>
      <c r="B424" s="8">
        <f>A424-10</f>
        <v>-10</v>
      </c>
      <c r="C424" s="1">
        <f>J424/10*10^-3</f>
        <v>0</v>
      </c>
      <c r="E424" s="6">
        <f>F424-J424/4.186</f>
        <v>0</v>
      </c>
      <c r="F424" s="6"/>
      <c r="G424" s="8">
        <f>18/(4.86*5)</f>
        <v>0.7407407407407407</v>
      </c>
      <c r="J424" s="5"/>
      <c r="K424" s="7">
        <f>J424-I424</f>
        <v>0</v>
      </c>
      <c r="L424" s="6"/>
      <c r="M424" s="5"/>
    </row>
    <row r="425" spans="1:13" x14ac:dyDescent="0.55000000000000004">
      <c r="A425" s="6"/>
      <c r="B425" s="8">
        <f>A425-10</f>
        <v>-10</v>
      </c>
      <c r="C425" s="1">
        <f>J425/10*10^-3</f>
        <v>0</v>
      </c>
      <c r="E425" s="6">
        <f>F425-J425/4.186</f>
        <v>0</v>
      </c>
      <c r="F425" s="6"/>
      <c r="G425" s="8">
        <f>18/(4.86*5)</f>
        <v>0.7407407407407407</v>
      </c>
      <c r="J425" s="5"/>
      <c r="K425" s="7">
        <f>J425-I425</f>
        <v>0</v>
      </c>
      <c r="L425" s="6"/>
      <c r="M425" s="5"/>
    </row>
    <row r="426" spans="1:13" x14ac:dyDescent="0.55000000000000004">
      <c r="A426" s="6"/>
      <c r="B426" s="8">
        <f>A426-10</f>
        <v>-10</v>
      </c>
      <c r="C426" s="1">
        <f>J426/10*10^-3</f>
        <v>0</v>
      </c>
      <c r="E426" s="6">
        <f>F426-J426/4.186</f>
        <v>0</v>
      </c>
      <c r="F426" s="6"/>
      <c r="G426" s="8">
        <f>18/(4.86*5)</f>
        <v>0.7407407407407407</v>
      </c>
      <c r="J426" s="5"/>
      <c r="K426" s="7">
        <f>J426-I426</f>
        <v>0</v>
      </c>
      <c r="L426" s="6"/>
      <c r="M426" s="5"/>
    </row>
    <row r="427" spans="1:13" x14ac:dyDescent="0.55000000000000004">
      <c r="A427" s="6"/>
      <c r="B427" s="8">
        <f>A427-10</f>
        <v>-10</v>
      </c>
      <c r="C427" s="1">
        <f>J427/10*10^-3</f>
        <v>0</v>
      </c>
      <c r="E427" s="6">
        <f>F427-J427/4.186</f>
        <v>0</v>
      </c>
      <c r="F427" s="6"/>
      <c r="G427" s="8">
        <f>18/(4.86*5)</f>
        <v>0.7407407407407407</v>
      </c>
      <c r="J427" s="5"/>
      <c r="K427" s="7">
        <f>J427-I427</f>
        <v>0</v>
      </c>
      <c r="L427" s="6"/>
      <c r="M427" s="5"/>
    </row>
    <row r="428" spans="1:13" x14ac:dyDescent="0.55000000000000004">
      <c r="A428" s="6"/>
      <c r="B428" s="8">
        <f>A428-10</f>
        <v>-10</v>
      </c>
      <c r="C428" s="1">
        <f>J428/10*10^-3</f>
        <v>0</v>
      </c>
      <c r="E428" s="6">
        <f>F428-J428/4.186</f>
        <v>0</v>
      </c>
      <c r="F428" s="6"/>
      <c r="G428" s="8">
        <f>18/(4.86*5)</f>
        <v>0.7407407407407407</v>
      </c>
      <c r="J428" s="5"/>
      <c r="K428" s="7">
        <f>J428-I428</f>
        <v>0</v>
      </c>
      <c r="L428" s="6"/>
      <c r="M428" s="5"/>
    </row>
    <row r="429" spans="1:13" x14ac:dyDescent="0.55000000000000004">
      <c r="A429" s="6"/>
      <c r="B429" s="8">
        <f>A429-10</f>
        <v>-10</v>
      </c>
      <c r="C429" s="1">
        <f>J429/10*10^-3</f>
        <v>0</v>
      </c>
      <c r="E429" s="6">
        <f>F429-J429/4.186</f>
        <v>0</v>
      </c>
      <c r="F429" s="6"/>
      <c r="G429" s="8">
        <f>18/(4.86*5)</f>
        <v>0.7407407407407407</v>
      </c>
      <c r="J429" s="5"/>
      <c r="K429" s="7">
        <f>J429-I429</f>
        <v>0</v>
      </c>
      <c r="L429" s="6"/>
      <c r="M429" s="5"/>
    </row>
    <row r="430" spans="1:13" x14ac:dyDescent="0.55000000000000004">
      <c r="A430" s="6"/>
      <c r="B430" s="8">
        <f>A430-10</f>
        <v>-10</v>
      </c>
      <c r="C430" s="1">
        <f>J430/10*10^-3</f>
        <v>0</v>
      </c>
      <c r="E430" s="6">
        <f>F430-J430/4.186</f>
        <v>0</v>
      </c>
      <c r="F430" s="6"/>
      <c r="G430" s="8">
        <f>18/(4.86*5)</f>
        <v>0.7407407407407407</v>
      </c>
      <c r="J430" s="5"/>
      <c r="K430" s="7">
        <f>J430-I430</f>
        <v>0</v>
      </c>
      <c r="L430" s="6"/>
      <c r="M430" s="5"/>
    </row>
    <row r="431" spans="1:13" x14ac:dyDescent="0.55000000000000004">
      <c r="A431" s="6"/>
      <c r="B431" s="8">
        <f>A431-10</f>
        <v>-10</v>
      </c>
      <c r="C431" s="1">
        <f>J431/10*10^-3</f>
        <v>0</v>
      </c>
      <c r="E431" s="6">
        <f>F431-J431/4.186</f>
        <v>0</v>
      </c>
      <c r="F431" s="6"/>
      <c r="G431" s="8">
        <f>18/(4.86*5)</f>
        <v>0.7407407407407407</v>
      </c>
      <c r="J431" s="5"/>
      <c r="K431" s="7">
        <f>J431-I431</f>
        <v>0</v>
      </c>
      <c r="L431" s="6"/>
      <c r="M431" s="5"/>
    </row>
    <row r="432" spans="1:13" x14ac:dyDescent="0.55000000000000004">
      <c r="A432" s="6"/>
      <c r="B432" s="8">
        <f>A432-10</f>
        <v>-10</v>
      </c>
      <c r="C432" s="1">
        <f>J432/10*10^-3</f>
        <v>0</v>
      </c>
      <c r="E432" s="6">
        <f>F432-J432/4.186</f>
        <v>0</v>
      </c>
      <c r="F432" s="6"/>
      <c r="G432" s="8">
        <f>18/(4.86*5)</f>
        <v>0.7407407407407407</v>
      </c>
      <c r="J432" s="5"/>
      <c r="K432" s="7">
        <f>J432-I432</f>
        <v>0</v>
      </c>
      <c r="L432" s="6"/>
      <c r="M432" s="5"/>
    </row>
    <row r="433" spans="1:13" x14ac:dyDescent="0.55000000000000004">
      <c r="A433" s="6"/>
      <c r="B433" s="8">
        <f>A433-10</f>
        <v>-10</v>
      </c>
      <c r="C433" s="1">
        <f>J433/10*10^-3</f>
        <v>0</v>
      </c>
      <c r="E433" s="6">
        <f>F433-J433/4.186</f>
        <v>0</v>
      </c>
      <c r="F433" s="6"/>
      <c r="G433" s="8">
        <f>18/(4.86*5)</f>
        <v>0.7407407407407407</v>
      </c>
      <c r="J433" s="5"/>
      <c r="K433" s="7">
        <f>J433-I433</f>
        <v>0</v>
      </c>
      <c r="L433" s="6"/>
      <c r="M433" s="5"/>
    </row>
    <row r="434" spans="1:13" x14ac:dyDescent="0.55000000000000004">
      <c r="A434" s="6"/>
      <c r="B434" s="8">
        <f>A434-10</f>
        <v>-10</v>
      </c>
      <c r="C434" s="1">
        <f>J434/10*10^-3</f>
        <v>0</v>
      </c>
      <c r="E434" s="6">
        <f>F434-J434/4.186</f>
        <v>0</v>
      </c>
      <c r="F434" s="6"/>
      <c r="G434" s="8">
        <f>18/(4.86*5)</f>
        <v>0.7407407407407407</v>
      </c>
      <c r="J434" s="5"/>
      <c r="K434" s="7">
        <f>J434-I434</f>
        <v>0</v>
      </c>
      <c r="L434" s="6"/>
      <c r="M434" s="5"/>
    </row>
    <row r="435" spans="1:13" x14ac:dyDescent="0.55000000000000004">
      <c r="A435" s="6"/>
      <c r="B435" s="8">
        <f>A435-10</f>
        <v>-10</v>
      </c>
      <c r="C435" s="1">
        <f>J435/10*10^-3</f>
        <v>0</v>
      </c>
      <c r="E435" s="6">
        <f>F435-J435/4.186</f>
        <v>0</v>
      </c>
      <c r="F435" s="6"/>
      <c r="G435" s="8">
        <f>18/(4.86*5)</f>
        <v>0.7407407407407407</v>
      </c>
      <c r="J435" s="5"/>
      <c r="K435" s="7">
        <f>J435-I435</f>
        <v>0</v>
      </c>
      <c r="L435" s="6"/>
      <c r="M435" s="5"/>
    </row>
    <row r="436" spans="1:13" x14ac:dyDescent="0.55000000000000004">
      <c r="A436" s="6"/>
      <c r="B436" s="8">
        <f>A436-10</f>
        <v>-10</v>
      </c>
      <c r="C436" s="1">
        <f>J436/10*10^-3</f>
        <v>0</v>
      </c>
      <c r="E436" s="6">
        <f>F436-J436/4.186</f>
        <v>0</v>
      </c>
      <c r="F436" s="6"/>
      <c r="G436" s="8">
        <f>18/(4.86*5)</f>
        <v>0.7407407407407407</v>
      </c>
      <c r="J436" s="5"/>
      <c r="K436" s="7">
        <f>J436-I436</f>
        <v>0</v>
      </c>
      <c r="L436" s="6"/>
      <c r="M436" s="5"/>
    </row>
    <row r="437" spans="1:13" x14ac:dyDescent="0.55000000000000004">
      <c r="A437" s="6"/>
      <c r="B437" s="8">
        <f>A437-10</f>
        <v>-10</v>
      </c>
      <c r="C437" s="1">
        <f>J437/10*10^-3</f>
        <v>0</v>
      </c>
      <c r="E437" s="6">
        <f>F437-J437/4.186</f>
        <v>0</v>
      </c>
      <c r="F437" s="6"/>
      <c r="G437" s="8">
        <f>18/(4.86*5)</f>
        <v>0.7407407407407407</v>
      </c>
      <c r="J437" s="5"/>
      <c r="K437" s="7">
        <f>J437-I437</f>
        <v>0</v>
      </c>
      <c r="L437" s="6"/>
      <c r="M437" s="5"/>
    </row>
    <row r="438" spans="1:13" x14ac:dyDescent="0.55000000000000004">
      <c r="A438" s="6"/>
      <c r="B438" s="8">
        <f>A438-10</f>
        <v>-10</v>
      </c>
      <c r="C438" s="1">
        <f>J438/10*10^-3</f>
        <v>0</v>
      </c>
      <c r="E438" s="6">
        <f>F438-J438/4.186</f>
        <v>0</v>
      </c>
      <c r="F438" s="6"/>
      <c r="G438" s="8">
        <f>18/(4.86*5)</f>
        <v>0.7407407407407407</v>
      </c>
      <c r="J438" s="5"/>
      <c r="K438" s="7">
        <f>J438-I438</f>
        <v>0</v>
      </c>
      <c r="L438" s="6"/>
      <c r="M438" s="5"/>
    </row>
    <row r="439" spans="1:13" x14ac:dyDescent="0.55000000000000004">
      <c r="A439" s="6"/>
      <c r="B439" s="8">
        <f>A439-10</f>
        <v>-10</v>
      </c>
      <c r="C439" s="1">
        <f>J439/10*10^-3</f>
        <v>0</v>
      </c>
      <c r="E439" s="6">
        <f>F439-J439/4.186</f>
        <v>0</v>
      </c>
      <c r="F439" s="6"/>
      <c r="G439" s="8">
        <f>18/(4.86*5)</f>
        <v>0.7407407407407407</v>
      </c>
      <c r="J439" s="5"/>
      <c r="K439" s="7">
        <f>J439-I439</f>
        <v>0</v>
      </c>
      <c r="L439" s="6"/>
      <c r="M439" s="5"/>
    </row>
    <row r="440" spans="1:13" x14ac:dyDescent="0.55000000000000004">
      <c r="A440" s="6"/>
      <c r="B440" s="8">
        <f>A440-10</f>
        <v>-10</v>
      </c>
      <c r="C440" s="1">
        <f>J440/10*10^-3</f>
        <v>0</v>
      </c>
      <c r="E440" s="6">
        <f>F440-J440/4.186</f>
        <v>0</v>
      </c>
      <c r="F440" s="6"/>
      <c r="G440" s="8">
        <f>18/(4.86*5)</f>
        <v>0.7407407407407407</v>
      </c>
      <c r="J440" s="5"/>
      <c r="K440" s="7">
        <f>J440-I440</f>
        <v>0</v>
      </c>
      <c r="L440" s="6"/>
      <c r="M440" s="5"/>
    </row>
    <row r="441" spans="1:13" x14ac:dyDescent="0.55000000000000004">
      <c r="A441" s="6"/>
      <c r="B441" s="8">
        <f>A441-10</f>
        <v>-10</v>
      </c>
      <c r="C441" s="1">
        <f>J441/10*10^-3</f>
        <v>0</v>
      </c>
      <c r="E441" s="6">
        <f>F441-J441/4.186</f>
        <v>0</v>
      </c>
      <c r="F441" s="6"/>
      <c r="G441" s="8">
        <f>18/(4.86*5)</f>
        <v>0.7407407407407407</v>
      </c>
      <c r="J441" s="5"/>
      <c r="K441" s="7">
        <f>J441-I441</f>
        <v>0</v>
      </c>
      <c r="L441" s="6"/>
      <c r="M441" s="5"/>
    </row>
    <row r="442" spans="1:13" x14ac:dyDescent="0.55000000000000004">
      <c r="A442" s="6"/>
      <c r="B442" s="8">
        <f>A442-10</f>
        <v>-10</v>
      </c>
      <c r="C442" s="1">
        <f>J442/10*10^-3</f>
        <v>0</v>
      </c>
      <c r="E442" s="6">
        <f>F442-J442/4.186</f>
        <v>0</v>
      </c>
      <c r="F442" s="6"/>
      <c r="G442" s="8">
        <f>18/(4.86*5)</f>
        <v>0.7407407407407407</v>
      </c>
      <c r="J442" s="5"/>
      <c r="K442" s="7">
        <f>J442-I442</f>
        <v>0</v>
      </c>
      <c r="L442" s="6"/>
      <c r="M442" s="5"/>
    </row>
    <row r="443" spans="1:13" x14ac:dyDescent="0.55000000000000004">
      <c r="A443" s="6"/>
      <c r="B443" s="8">
        <f>A443-10</f>
        <v>-10</v>
      </c>
      <c r="C443" s="1">
        <f>J443/10*10^-3</f>
        <v>0</v>
      </c>
      <c r="E443" s="6">
        <f>F443-J443/4.186</f>
        <v>0</v>
      </c>
      <c r="F443" s="6"/>
      <c r="G443" s="8">
        <f>18/(4.86*5)</f>
        <v>0.7407407407407407</v>
      </c>
      <c r="J443" s="5"/>
      <c r="K443" s="7">
        <f>J443-I443</f>
        <v>0</v>
      </c>
      <c r="L443" s="6"/>
      <c r="M443" s="5"/>
    </row>
    <row r="444" spans="1:13" x14ac:dyDescent="0.55000000000000004">
      <c r="A444" s="6"/>
      <c r="B444" s="8">
        <f>A444-10</f>
        <v>-10</v>
      </c>
      <c r="C444" s="1">
        <f>J444/10*10^-3</f>
        <v>0</v>
      </c>
      <c r="E444" s="6">
        <f>F444-J444/4.186</f>
        <v>0</v>
      </c>
      <c r="F444" s="6"/>
      <c r="G444" s="8">
        <f>18/(4.86*5)</f>
        <v>0.7407407407407407</v>
      </c>
      <c r="J444" s="5"/>
      <c r="K444" s="7">
        <f>J444-I444</f>
        <v>0</v>
      </c>
      <c r="L444" s="6"/>
      <c r="M444" s="5"/>
    </row>
    <row r="445" spans="1:13" x14ac:dyDescent="0.55000000000000004">
      <c r="A445" s="6"/>
      <c r="B445" s="8">
        <f>A445-10</f>
        <v>-10</v>
      </c>
      <c r="C445" s="1">
        <f>J445/10*10^-3</f>
        <v>0</v>
      </c>
      <c r="E445" s="6">
        <f>F445-J445/4.186</f>
        <v>0</v>
      </c>
      <c r="F445" s="6"/>
      <c r="G445" s="8">
        <f>18/(4.86*5)</f>
        <v>0.7407407407407407</v>
      </c>
      <c r="J445" s="5"/>
      <c r="K445" s="7">
        <f>J445-I445</f>
        <v>0</v>
      </c>
      <c r="L445" s="6"/>
      <c r="M445" s="5"/>
    </row>
    <row r="446" spans="1:13" x14ac:dyDescent="0.55000000000000004">
      <c r="A446" s="6"/>
      <c r="B446" s="8">
        <f>A446-10</f>
        <v>-10</v>
      </c>
      <c r="C446" s="1">
        <f>J446/10*10^-3</f>
        <v>0</v>
      </c>
      <c r="E446" s="6">
        <f>F446-J446/4.186</f>
        <v>0</v>
      </c>
      <c r="F446" s="6"/>
      <c r="G446" s="8">
        <f>18/(4.86*5)</f>
        <v>0.7407407407407407</v>
      </c>
      <c r="J446" s="5"/>
      <c r="K446" s="7">
        <f>J446-I446</f>
        <v>0</v>
      </c>
      <c r="L446" s="6"/>
      <c r="M446" s="5"/>
    </row>
    <row r="447" spans="1:13" x14ac:dyDescent="0.55000000000000004">
      <c r="A447" s="6"/>
      <c r="B447" s="8">
        <f>A447-10</f>
        <v>-10</v>
      </c>
      <c r="C447" s="1">
        <f>J447/10*10^-3</f>
        <v>0</v>
      </c>
      <c r="E447" s="6">
        <f>F447-J447/4.186</f>
        <v>0</v>
      </c>
      <c r="F447" s="6"/>
      <c r="G447" s="8">
        <f>18/(4.86*5)</f>
        <v>0.7407407407407407</v>
      </c>
      <c r="J447" s="5"/>
      <c r="K447" s="7">
        <f>J447-I447</f>
        <v>0</v>
      </c>
      <c r="L447" s="6"/>
      <c r="M447" s="5"/>
    </row>
    <row r="448" spans="1:13" x14ac:dyDescent="0.55000000000000004">
      <c r="A448" s="6"/>
      <c r="B448" s="8">
        <f>A448-10</f>
        <v>-10</v>
      </c>
      <c r="C448" s="1">
        <f>J448/10*10^-3</f>
        <v>0</v>
      </c>
      <c r="E448" s="6">
        <f>F448-J448/4.186</f>
        <v>0</v>
      </c>
      <c r="F448" s="6"/>
      <c r="G448" s="8">
        <f>18/(4.86*5)</f>
        <v>0.7407407407407407</v>
      </c>
      <c r="J448" s="5"/>
      <c r="K448" s="7">
        <f>J448-I448</f>
        <v>0</v>
      </c>
      <c r="L448" s="6"/>
      <c r="M448" s="5"/>
    </row>
    <row r="449" spans="1:13" x14ac:dyDescent="0.55000000000000004">
      <c r="A449" s="6"/>
      <c r="B449" s="8">
        <f>A449-10</f>
        <v>-10</v>
      </c>
      <c r="C449" s="1">
        <f>J449/10*10^-3</f>
        <v>0</v>
      </c>
      <c r="E449" s="6">
        <f>F449-J449/4.186</f>
        <v>0</v>
      </c>
      <c r="F449" s="6"/>
      <c r="G449" s="8">
        <f>18/(4.86*5)</f>
        <v>0.7407407407407407</v>
      </c>
      <c r="J449" s="5"/>
      <c r="K449" s="7">
        <f>J449-I449</f>
        <v>0</v>
      </c>
      <c r="L449" s="6"/>
      <c r="M449" s="5"/>
    </row>
    <row r="450" spans="1:13" x14ac:dyDescent="0.55000000000000004">
      <c r="A450" s="6"/>
      <c r="B450" s="8">
        <f>A450-10</f>
        <v>-10</v>
      </c>
      <c r="C450" s="1">
        <f>J450/10*10^-3</f>
        <v>0</v>
      </c>
      <c r="E450" s="6">
        <f>F450-J450/4.186</f>
        <v>0</v>
      </c>
      <c r="F450" s="6"/>
      <c r="G450" s="8">
        <f>18/(4.86*5)</f>
        <v>0.7407407407407407</v>
      </c>
      <c r="K450" s="7">
        <f>J450-I450</f>
        <v>0</v>
      </c>
      <c r="L450" s="6"/>
      <c r="M450" s="5"/>
    </row>
    <row r="451" spans="1:13" x14ac:dyDescent="0.55000000000000004">
      <c r="A451" s="6"/>
      <c r="B451" s="8">
        <f>A451-10</f>
        <v>-10</v>
      </c>
      <c r="C451" s="1">
        <f>J451/10*10^-3</f>
        <v>0</v>
      </c>
      <c r="E451" s="6">
        <f>F451-J451/4.186</f>
        <v>0</v>
      </c>
      <c r="F451" s="6"/>
      <c r="G451" s="8">
        <f>18/(4.86*5)</f>
        <v>0.7407407407407407</v>
      </c>
      <c r="K451" s="7">
        <f>J451-I451</f>
        <v>0</v>
      </c>
      <c r="L451" s="6"/>
      <c r="M451" s="5"/>
    </row>
    <row r="452" spans="1:13" x14ac:dyDescent="0.55000000000000004">
      <c r="A452" s="6"/>
      <c r="B452" s="8">
        <f>A452-10</f>
        <v>-10</v>
      </c>
      <c r="C452" s="1">
        <f>J452/10*10^-3</f>
        <v>0</v>
      </c>
      <c r="E452" s="6">
        <f>F452-J452/4.186</f>
        <v>0</v>
      </c>
      <c r="F452" s="6"/>
      <c r="G452" s="8">
        <f>18/(4.86*5)</f>
        <v>0.7407407407407407</v>
      </c>
      <c r="K452" s="7">
        <f>J452-I452</f>
        <v>0</v>
      </c>
      <c r="L452" s="6"/>
      <c r="M452" s="5"/>
    </row>
    <row r="453" spans="1:13" x14ac:dyDescent="0.55000000000000004">
      <c r="A453" s="6"/>
      <c r="B453" s="8">
        <f>A453-10</f>
        <v>-10</v>
      </c>
      <c r="C453" s="1">
        <f>J453/10*10^-3</f>
        <v>0</v>
      </c>
      <c r="E453" s="6">
        <f>F453-J453/4.186</f>
        <v>0</v>
      </c>
      <c r="F453" s="6"/>
      <c r="G453" s="8">
        <f>18/(4.86*5)</f>
        <v>0.7407407407407407</v>
      </c>
      <c r="K453" s="7">
        <f>J453-I453</f>
        <v>0</v>
      </c>
      <c r="L453" s="6"/>
      <c r="M453" s="5"/>
    </row>
    <row r="454" spans="1:13" x14ac:dyDescent="0.55000000000000004">
      <c r="A454" s="6"/>
      <c r="B454" s="8">
        <f>A454-10</f>
        <v>-10</v>
      </c>
      <c r="C454" s="1">
        <f>J454/10*10^-3</f>
        <v>0</v>
      </c>
      <c r="E454" s="6">
        <f>F454-J454/4.186</f>
        <v>0</v>
      </c>
      <c r="F454" s="6"/>
      <c r="G454" s="8">
        <f>18/(4.86*5)</f>
        <v>0.7407407407407407</v>
      </c>
      <c r="K454" s="7">
        <f>J454-I454</f>
        <v>0</v>
      </c>
      <c r="L454" s="6"/>
      <c r="M454" s="5"/>
    </row>
    <row r="455" spans="1:13" x14ac:dyDescent="0.55000000000000004">
      <c r="A455" s="6"/>
      <c r="B455" s="8">
        <f>A455-10</f>
        <v>-10</v>
      </c>
      <c r="C455" s="1">
        <f>J455/10*10^-3</f>
        <v>0</v>
      </c>
      <c r="E455" s="6">
        <f>F455-J455/4.186</f>
        <v>0</v>
      </c>
      <c r="F455" s="6"/>
      <c r="G455" s="8">
        <f>18/(4.86*5)</f>
        <v>0.7407407407407407</v>
      </c>
      <c r="K455" s="7">
        <f>J455-I455</f>
        <v>0</v>
      </c>
      <c r="L455" s="6"/>
      <c r="M455" s="5"/>
    </row>
    <row r="456" spans="1:13" x14ac:dyDescent="0.55000000000000004">
      <c r="A456" s="6"/>
      <c r="B456" s="8">
        <f>A456-10</f>
        <v>-10</v>
      </c>
      <c r="C456" s="1">
        <f>J456/10*10^-3</f>
        <v>0</v>
      </c>
      <c r="E456" s="6">
        <f>F456-J456/4.186</f>
        <v>0</v>
      </c>
      <c r="F456" s="6"/>
      <c r="G456" s="8">
        <f>18/(4.86*5)</f>
        <v>0.7407407407407407</v>
      </c>
      <c r="K456" s="7">
        <f>J456-I456</f>
        <v>0</v>
      </c>
      <c r="L456" s="6"/>
      <c r="M456" s="5"/>
    </row>
    <row r="457" spans="1:13" x14ac:dyDescent="0.55000000000000004">
      <c r="A457" s="6"/>
      <c r="B457" s="8">
        <f>A457-10</f>
        <v>-10</v>
      </c>
      <c r="C457" s="1">
        <f>J457/10*10^-3</f>
        <v>0</v>
      </c>
      <c r="E457" s="6">
        <f>F457-J457/4.186</f>
        <v>0</v>
      </c>
      <c r="F457" s="6"/>
      <c r="G457" s="8">
        <f>18/(4.86*5)</f>
        <v>0.7407407407407407</v>
      </c>
      <c r="K457" s="7">
        <f>J457-I457</f>
        <v>0</v>
      </c>
      <c r="L457" s="6"/>
      <c r="M457" s="5"/>
    </row>
    <row r="458" spans="1:13" x14ac:dyDescent="0.55000000000000004">
      <c r="A458" s="6"/>
      <c r="B458" s="8">
        <f>A458-10</f>
        <v>-10</v>
      </c>
      <c r="C458" s="1">
        <f>J458/10*10^-3</f>
        <v>0</v>
      </c>
      <c r="E458" s="6">
        <f>F458-J458/4.186</f>
        <v>0</v>
      </c>
      <c r="F458" s="6"/>
      <c r="G458" s="8">
        <f>18/(4.86*5)</f>
        <v>0.7407407407407407</v>
      </c>
      <c r="K458" s="7">
        <f>J458-I458</f>
        <v>0</v>
      </c>
      <c r="L458" s="6"/>
      <c r="M458" s="5"/>
    </row>
    <row r="459" spans="1:13" x14ac:dyDescent="0.55000000000000004">
      <c r="A459" s="6"/>
      <c r="B459" s="8">
        <f>A459-10</f>
        <v>-10</v>
      </c>
      <c r="C459" s="1">
        <f>J459/10*10^-3</f>
        <v>0</v>
      </c>
      <c r="E459" s="6">
        <f>F459-J459/4.186</f>
        <v>0</v>
      </c>
      <c r="F459" s="6"/>
      <c r="G459" s="8">
        <f>18/(4.86*5)</f>
        <v>0.7407407407407407</v>
      </c>
      <c r="K459" s="7">
        <f>J459-I459</f>
        <v>0</v>
      </c>
      <c r="L459" s="6"/>
      <c r="M459" s="5"/>
    </row>
    <row r="460" spans="1:13" x14ac:dyDescent="0.55000000000000004">
      <c r="A460" s="6"/>
      <c r="B460" s="8">
        <f>A460-10</f>
        <v>-10</v>
      </c>
      <c r="C460" s="1">
        <f>J460/10*10^-3</f>
        <v>0</v>
      </c>
      <c r="E460" s="6">
        <f>F460-J460/4.186</f>
        <v>0</v>
      </c>
      <c r="F460" s="6"/>
      <c r="G460" s="8">
        <f>18/(4.86*5)</f>
        <v>0.7407407407407407</v>
      </c>
      <c r="K460" s="7">
        <f>J460-I460</f>
        <v>0</v>
      </c>
      <c r="L460" s="6"/>
      <c r="M460" s="5"/>
    </row>
    <row r="461" spans="1:13" x14ac:dyDescent="0.55000000000000004">
      <c r="A461" s="6"/>
      <c r="B461" s="8">
        <f>A461-10</f>
        <v>-10</v>
      </c>
      <c r="C461" s="1">
        <f>J461/10*10^-3</f>
        <v>0</v>
      </c>
      <c r="E461" s="6">
        <f>F461-J461/4.186</f>
        <v>0</v>
      </c>
      <c r="F461" s="6"/>
      <c r="G461" s="8">
        <f>18/(4.86*5)</f>
        <v>0.7407407407407407</v>
      </c>
      <c r="K461" s="7">
        <f>J461-I461</f>
        <v>0</v>
      </c>
      <c r="L461" s="6"/>
      <c r="M461" s="5"/>
    </row>
    <row r="462" spans="1:13" x14ac:dyDescent="0.55000000000000004">
      <c r="A462" s="6"/>
      <c r="B462" s="8">
        <f>A462-10</f>
        <v>-10</v>
      </c>
      <c r="C462" s="1">
        <f>J462/10*10^-3</f>
        <v>0</v>
      </c>
      <c r="E462" s="6">
        <f>F462-J462/4.186</f>
        <v>0</v>
      </c>
      <c r="F462" s="6"/>
      <c r="G462" s="8">
        <f>18/(4.86*5)</f>
        <v>0.7407407407407407</v>
      </c>
      <c r="K462" s="7">
        <f>J462-I462</f>
        <v>0</v>
      </c>
      <c r="L462" s="6"/>
      <c r="M462" s="5"/>
    </row>
    <row r="463" spans="1:13" x14ac:dyDescent="0.55000000000000004">
      <c r="A463" s="6"/>
      <c r="B463" s="8">
        <f>A463-10</f>
        <v>-10</v>
      </c>
      <c r="C463" s="1">
        <f>J463/10*10^-3</f>
        <v>0</v>
      </c>
      <c r="E463" s="6">
        <f>F463-J463/4.186</f>
        <v>0</v>
      </c>
      <c r="F463" s="6"/>
      <c r="G463" s="8">
        <f>18/(4.86*5)</f>
        <v>0.7407407407407407</v>
      </c>
      <c r="K463" s="7">
        <f>J463-I463</f>
        <v>0</v>
      </c>
      <c r="L463" s="6"/>
      <c r="M463" s="5"/>
    </row>
    <row r="464" spans="1:13" x14ac:dyDescent="0.55000000000000004">
      <c r="A464" s="6"/>
      <c r="B464" s="8">
        <f>A464-10</f>
        <v>-10</v>
      </c>
      <c r="C464" s="1">
        <f>J464/10*10^-3</f>
        <v>0</v>
      </c>
      <c r="E464" s="6">
        <f>F464-J464/4.186</f>
        <v>0</v>
      </c>
      <c r="F464" s="6"/>
      <c r="G464" s="8">
        <f>18/(4.86*5)</f>
        <v>0.7407407407407407</v>
      </c>
      <c r="K464" s="7">
        <f>J464-I464</f>
        <v>0</v>
      </c>
      <c r="L464" s="6"/>
      <c r="M464" s="5"/>
    </row>
    <row r="465" spans="1:13" x14ac:dyDescent="0.55000000000000004">
      <c r="A465" s="6"/>
      <c r="B465" s="8">
        <f>A465-10</f>
        <v>-10</v>
      </c>
      <c r="C465" s="1">
        <f>J465/10*10^-3</f>
        <v>0</v>
      </c>
      <c r="E465" s="6">
        <f>F465-J465/4.186</f>
        <v>0</v>
      </c>
      <c r="F465" s="6"/>
      <c r="G465" s="8">
        <f>18/(4.86*5)</f>
        <v>0.7407407407407407</v>
      </c>
      <c r="K465" s="7">
        <f>J465-I465</f>
        <v>0</v>
      </c>
      <c r="L465" s="6"/>
      <c r="M465" s="5"/>
    </row>
    <row r="466" spans="1:13" x14ac:dyDescent="0.55000000000000004">
      <c r="A466" s="6"/>
      <c r="B466" s="8">
        <f>A466-10</f>
        <v>-10</v>
      </c>
      <c r="C466" s="1">
        <f>J466/10*10^-3</f>
        <v>0</v>
      </c>
      <c r="E466" s="6">
        <f>F466-J466/4.186</f>
        <v>0</v>
      </c>
      <c r="F466" s="6"/>
      <c r="G466" s="8">
        <f>18/(4.86*5)</f>
        <v>0.7407407407407407</v>
      </c>
      <c r="K466" s="7">
        <f>J466-I466</f>
        <v>0</v>
      </c>
      <c r="L466" s="6"/>
      <c r="M466" s="5"/>
    </row>
    <row r="467" spans="1:13" x14ac:dyDescent="0.55000000000000004">
      <c r="A467" s="6"/>
      <c r="B467" s="8">
        <f>A467-10</f>
        <v>-10</v>
      </c>
      <c r="C467" s="1">
        <f>J467/10*10^-3</f>
        <v>0</v>
      </c>
      <c r="E467" s="6">
        <f>F467-J467/4.186</f>
        <v>0</v>
      </c>
      <c r="F467" s="6"/>
      <c r="G467" s="8">
        <f>18/(4.86*5)</f>
        <v>0.7407407407407407</v>
      </c>
      <c r="K467" s="7">
        <f>J467-I467</f>
        <v>0</v>
      </c>
      <c r="L467" s="6"/>
      <c r="M467" s="5"/>
    </row>
    <row r="468" spans="1:13" x14ac:dyDescent="0.55000000000000004">
      <c r="A468" s="6"/>
      <c r="B468" s="8">
        <f>A468-10</f>
        <v>-10</v>
      </c>
      <c r="C468" s="1">
        <f>J468/10*10^-3</f>
        <v>0</v>
      </c>
      <c r="E468" s="6">
        <f>F468-J468/4.186</f>
        <v>0</v>
      </c>
      <c r="F468" s="6"/>
      <c r="G468" s="8">
        <f>18/(4.86*5)</f>
        <v>0.7407407407407407</v>
      </c>
      <c r="K468" s="7">
        <f>J468-I468</f>
        <v>0</v>
      </c>
      <c r="L468" s="6"/>
      <c r="M468" s="5"/>
    </row>
    <row r="469" spans="1:13" x14ac:dyDescent="0.55000000000000004">
      <c r="A469" s="6"/>
      <c r="B469" s="8">
        <f>A469-10</f>
        <v>-10</v>
      </c>
      <c r="C469" s="1">
        <f>J469/10*10^-3</f>
        <v>0</v>
      </c>
      <c r="E469" s="6">
        <f>F469-J469/4.186</f>
        <v>0</v>
      </c>
      <c r="F469" s="6"/>
      <c r="G469" s="8">
        <f>18/(4.86*5)</f>
        <v>0.7407407407407407</v>
      </c>
      <c r="K469" s="7">
        <f>J469-I469</f>
        <v>0</v>
      </c>
      <c r="L469" s="6"/>
      <c r="M469" s="5"/>
    </row>
    <row r="470" spans="1:13" x14ac:dyDescent="0.55000000000000004">
      <c r="A470" s="6"/>
      <c r="B470" s="8">
        <f>A470-10</f>
        <v>-10</v>
      </c>
      <c r="C470" s="1">
        <f>J470/10*10^-3</f>
        <v>0</v>
      </c>
      <c r="E470" s="6">
        <f>F470-J470/4.186</f>
        <v>0</v>
      </c>
      <c r="F470" s="6"/>
      <c r="G470" s="8">
        <f>18/(4.86*5)</f>
        <v>0.7407407407407407</v>
      </c>
      <c r="K470" s="7">
        <f>J470-I470</f>
        <v>0</v>
      </c>
      <c r="L470" s="6"/>
      <c r="M470" s="5"/>
    </row>
    <row r="471" spans="1:13" x14ac:dyDescent="0.55000000000000004">
      <c r="A471" s="6"/>
      <c r="B471" s="8">
        <f>A471-10</f>
        <v>-10</v>
      </c>
      <c r="C471" s="1">
        <f>J471/10*10^-3</f>
        <v>0</v>
      </c>
      <c r="E471" s="6">
        <f>F471-J471/4.186</f>
        <v>0</v>
      </c>
      <c r="F471" s="6"/>
      <c r="G471" s="8">
        <f>18/(4.86*5)</f>
        <v>0.7407407407407407</v>
      </c>
      <c r="K471" s="7">
        <f>J471-I471</f>
        <v>0</v>
      </c>
      <c r="L471" s="6"/>
      <c r="M471" s="5"/>
    </row>
    <row r="472" spans="1:13" x14ac:dyDescent="0.55000000000000004">
      <c r="A472" s="6"/>
      <c r="B472" s="8">
        <f>A472-10</f>
        <v>-10</v>
      </c>
      <c r="C472" s="1">
        <f>J472/10*10^-3</f>
        <v>0</v>
      </c>
      <c r="E472" s="6">
        <f>F472-J472/4.186</f>
        <v>0</v>
      </c>
      <c r="F472" s="6"/>
      <c r="G472" s="8">
        <f>18/(4.86*5)</f>
        <v>0.7407407407407407</v>
      </c>
      <c r="K472" s="7">
        <f>J472-I472</f>
        <v>0</v>
      </c>
      <c r="L472" s="6"/>
      <c r="M472" s="5"/>
    </row>
    <row r="473" spans="1:13" x14ac:dyDescent="0.55000000000000004">
      <c r="A473" s="6"/>
      <c r="B473" s="8">
        <f>A473-10</f>
        <v>-10</v>
      </c>
      <c r="C473" s="1">
        <f>J473/10*10^-3</f>
        <v>0</v>
      </c>
      <c r="E473" s="6">
        <f>F473-J473/4.186</f>
        <v>0</v>
      </c>
      <c r="F473" s="6"/>
      <c r="G473" s="8">
        <f>18/(4.86*5)</f>
        <v>0.7407407407407407</v>
      </c>
      <c r="K473" s="7">
        <f>J473-I473</f>
        <v>0</v>
      </c>
      <c r="L473" s="6"/>
      <c r="M473" s="5"/>
    </row>
    <row r="474" spans="1:13" x14ac:dyDescent="0.55000000000000004">
      <c r="A474" s="6"/>
      <c r="B474" s="8">
        <f>A474-10</f>
        <v>-10</v>
      </c>
      <c r="C474" s="1">
        <f>J474/10*10^-3</f>
        <v>0</v>
      </c>
      <c r="E474" s="6">
        <f>F474-J474/4.186</f>
        <v>0</v>
      </c>
      <c r="F474" s="6"/>
      <c r="G474" s="8">
        <f>18/(4.86*5)</f>
        <v>0.7407407407407407</v>
      </c>
      <c r="K474" s="7">
        <f>J474-I474</f>
        <v>0</v>
      </c>
      <c r="L474" s="6"/>
      <c r="M474" s="5"/>
    </row>
    <row r="475" spans="1:13" x14ac:dyDescent="0.55000000000000004">
      <c r="A475" s="6"/>
      <c r="B475" s="8">
        <f>A475-10</f>
        <v>-10</v>
      </c>
      <c r="C475" s="1">
        <f>J475/10*10^-3</f>
        <v>0</v>
      </c>
      <c r="E475" s="6">
        <f>F475-J475/4.186</f>
        <v>0</v>
      </c>
      <c r="F475" s="6"/>
      <c r="G475" s="8">
        <f>18/(4.86*5)</f>
        <v>0.7407407407407407</v>
      </c>
      <c r="K475" s="7">
        <f>J475-I475</f>
        <v>0</v>
      </c>
      <c r="L475" s="6"/>
      <c r="M475" s="5"/>
    </row>
    <row r="476" spans="1:13" x14ac:dyDescent="0.55000000000000004">
      <c r="A476" s="6"/>
      <c r="B476" s="8">
        <f>A476-10</f>
        <v>-10</v>
      </c>
      <c r="C476" s="1">
        <f>J476/10*10^-3</f>
        <v>0</v>
      </c>
      <c r="E476" s="6">
        <f>F476-J476/4.186</f>
        <v>0</v>
      </c>
      <c r="F476" s="6"/>
      <c r="G476" s="8">
        <f>18/(4.86*5)</f>
        <v>0.7407407407407407</v>
      </c>
      <c r="K476" s="7">
        <f>J476-I476</f>
        <v>0</v>
      </c>
      <c r="L476" s="6"/>
      <c r="M476" s="5"/>
    </row>
    <row r="477" spans="1:13" x14ac:dyDescent="0.55000000000000004">
      <c r="A477" s="6"/>
      <c r="B477" s="8">
        <f>A477-10</f>
        <v>-10</v>
      </c>
      <c r="C477" s="1">
        <f>J477/10*10^-3</f>
        <v>0</v>
      </c>
      <c r="E477" s="6">
        <f>F477-J477/4.186</f>
        <v>0</v>
      </c>
      <c r="F477" s="6"/>
      <c r="G477" s="8">
        <f>18/(4.86*5)</f>
        <v>0.7407407407407407</v>
      </c>
      <c r="K477" s="7">
        <f>J477-I477</f>
        <v>0</v>
      </c>
      <c r="L477" s="6"/>
      <c r="M477" s="5"/>
    </row>
    <row r="478" spans="1:13" x14ac:dyDescent="0.55000000000000004">
      <c r="A478" s="6"/>
      <c r="B478" s="8">
        <f>A478-10</f>
        <v>-10</v>
      </c>
      <c r="C478" s="1">
        <f>J478/10*10^-3</f>
        <v>0</v>
      </c>
      <c r="E478" s="6">
        <f>F478-J478/4.186</f>
        <v>0</v>
      </c>
      <c r="F478" s="6"/>
      <c r="G478" s="8">
        <f>18/(4.86*5)</f>
        <v>0.7407407407407407</v>
      </c>
      <c r="K478" s="7">
        <f>J478-I478</f>
        <v>0</v>
      </c>
      <c r="L478" s="6"/>
      <c r="M478" s="5"/>
    </row>
    <row r="479" spans="1:13" x14ac:dyDescent="0.55000000000000004">
      <c r="A479" s="6"/>
      <c r="B479" s="8">
        <f>A479-10</f>
        <v>-10</v>
      </c>
      <c r="C479" s="1">
        <f>J479/10*10^-3</f>
        <v>0</v>
      </c>
      <c r="E479" s="6">
        <f>F479-J479/4.186</f>
        <v>0</v>
      </c>
      <c r="F479" s="6"/>
      <c r="G479" s="8">
        <f>18/(4.86*5)</f>
        <v>0.7407407407407407</v>
      </c>
      <c r="K479" s="7">
        <f>J479-I479</f>
        <v>0</v>
      </c>
      <c r="L479" s="6"/>
      <c r="M479" s="5"/>
    </row>
    <row r="480" spans="1:13" x14ac:dyDescent="0.55000000000000004">
      <c r="A480" s="6"/>
      <c r="B480" s="8">
        <f>A480-10</f>
        <v>-10</v>
      </c>
      <c r="C480" s="1">
        <f>J480/10*10^-3</f>
        <v>0</v>
      </c>
      <c r="E480" s="6">
        <f>F480-J480/4.186</f>
        <v>0</v>
      </c>
      <c r="F480" s="6"/>
      <c r="G480" s="8">
        <f>18/(4.86*5)</f>
        <v>0.7407407407407407</v>
      </c>
      <c r="K480" s="7">
        <f>J480-I480</f>
        <v>0</v>
      </c>
      <c r="L480" s="6"/>
      <c r="M480" s="5"/>
    </row>
    <row r="481" spans="1:13" x14ac:dyDescent="0.55000000000000004">
      <c r="A481" s="6"/>
      <c r="B481" s="8">
        <f>A481-10</f>
        <v>-10</v>
      </c>
      <c r="C481" s="1">
        <f>J481/10*10^-3</f>
        <v>0</v>
      </c>
      <c r="E481" s="6">
        <f>F481-J481/4.186</f>
        <v>0</v>
      </c>
      <c r="F481" s="6"/>
      <c r="G481" s="8">
        <f>18/(4.86*5)</f>
        <v>0.7407407407407407</v>
      </c>
      <c r="K481" s="7">
        <f>J481-I481</f>
        <v>0</v>
      </c>
      <c r="L481" s="6"/>
      <c r="M481" s="5"/>
    </row>
    <row r="482" spans="1:13" x14ac:dyDescent="0.55000000000000004">
      <c r="A482" s="6"/>
      <c r="B482" s="8">
        <f>A482-10</f>
        <v>-10</v>
      </c>
      <c r="C482" s="1">
        <f>J482/10*10^-3</f>
        <v>0</v>
      </c>
      <c r="E482" s="6">
        <f>F482-J482/4.186</f>
        <v>0</v>
      </c>
      <c r="F482" s="6"/>
      <c r="G482" s="8">
        <f>18/(4.86*5)</f>
        <v>0.7407407407407407</v>
      </c>
      <c r="K482" s="7">
        <f>J482-I482</f>
        <v>0</v>
      </c>
      <c r="L482" s="6"/>
      <c r="M482" s="5"/>
    </row>
    <row r="483" spans="1:13" x14ac:dyDescent="0.55000000000000004">
      <c r="A483" s="6"/>
      <c r="B483" s="8">
        <f>A483-10</f>
        <v>-10</v>
      </c>
      <c r="C483" s="1">
        <f>J483/10*10^-3</f>
        <v>0</v>
      </c>
      <c r="E483" s="6">
        <f>F483-J483/4.186</f>
        <v>0</v>
      </c>
      <c r="F483" s="6"/>
      <c r="G483" s="8">
        <f>18/(4.86*5)</f>
        <v>0.7407407407407407</v>
      </c>
      <c r="K483" s="7">
        <f>J483-I483</f>
        <v>0</v>
      </c>
      <c r="L483" s="6"/>
      <c r="M483" s="5"/>
    </row>
    <row r="484" spans="1:13" x14ac:dyDescent="0.55000000000000004">
      <c r="A484" s="6"/>
      <c r="B484" s="8">
        <f>A484-10</f>
        <v>-10</v>
      </c>
      <c r="C484" s="1">
        <f>J484/10*10^-3</f>
        <v>0</v>
      </c>
      <c r="E484" s="6">
        <f>F484-J484/4.186</f>
        <v>0</v>
      </c>
      <c r="F484" s="6"/>
      <c r="G484" s="8">
        <f>18/(4.86*5)</f>
        <v>0.7407407407407407</v>
      </c>
      <c r="K484" s="7">
        <f>J484-I484</f>
        <v>0</v>
      </c>
      <c r="L484" s="6"/>
      <c r="M484" s="5"/>
    </row>
    <row r="485" spans="1:13" x14ac:dyDescent="0.55000000000000004">
      <c r="A485" s="6"/>
      <c r="B485" s="8">
        <f>A485-10</f>
        <v>-10</v>
      </c>
      <c r="C485" s="1">
        <f>J485/10*10^-3</f>
        <v>0</v>
      </c>
      <c r="E485" s="6">
        <f>F485-J485/4.186</f>
        <v>0</v>
      </c>
      <c r="F485" s="6"/>
      <c r="G485" s="8">
        <f>18/(4.86*5)</f>
        <v>0.7407407407407407</v>
      </c>
      <c r="K485" s="7">
        <f>J485-I485</f>
        <v>0</v>
      </c>
      <c r="L485" s="6"/>
      <c r="M485" s="5"/>
    </row>
    <row r="486" spans="1:13" x14ac:dyDescent="0.55000000000000004">
      <c r="A486" s="6"/>
      <c r="B486" s="8">
        <f>A486-10</f>
        <v>-10</v>
      </c>
      <c r="C486" s="1">
        <f>J486/10*10^-3</f>
        <v>0</v>
      </c>
      <c r="E486" s="6">
        <f>F486-J486/4.186</f>
        <v>0</v>
      </c>
      <c r="F486" s="6"/>
      <c r="G486" s="8">
        <f>18/(4.86*5)</f>
        <v>0.7407407407407407</v>
      </c>
      <c r="K486" s="7">
        <f>J486-I486</f>
        <v>0</v>
      </c>
      <c r="L486" s="6"/>
      <c r="M486" s="5"/>
    </row>
    <row r="487" spans="1:13" x14ac:dyDescent="0.55000000000000004">
      <c r="A487" s="6"/>
      <c r="B487" s="8">
        <f>A487-10</f>
        <v>-10</v>
      </c>
      <c r="C487" s="1">
        <f>J487/10*10^-3</f>
        <v>0</v>
      </c>
      <c r="E487" s="6">
        <f>F487-J487/4.186</f>
        <v>0</v>
      </c>
      <c r="F487" s="6"/>
      <c r="G487" s="8">
        <f>18/(4.86*5)</f>
        <v>0.7407407407407407</v>
      </c>
      <c r="K487" s="7">
        <f>J487-I487</f>
        <v>0</v>
      </c>
      <c r="L487" s="6"/>
      <c r="M487" s="5"/>
    </row>
    <row r="488" spans="1:13" x14ac:dyDescent="0.55000000000000004">
      <c r="A488" s="6"/>
      <c r="B488" s="8">
        <f>A488-10</f>
        <v>-10</v>
      </c>
      <c r="C488" s="1">
        <f>J488/10*10^-3</f>
        <v>0</v>
      </c>
      <c r="E488" s="6">
        <f>F488-J488/4.186</f>
        <v>0</v>
      </c>
      <c r="F488" s="6"/>
      <c r="G488" s="8">
        <f>18/(4.86*5)</f>
        <v>0.7407407407407407</v>
      </c>
      <c r="K488" s="7">
        <f>J488-I488</f>
        <v>0</v>
      </c>
      <c r="L488" s="6"/>
      <c r="M488" s="5"/>
    </row>
    <row r="489" spans="1:13" x14ac:dyDescent="0.55000000000000004">
      <c r="A489" s="6"/>
      <c r="B489" s="8">
        <f>A489-10</f>
        <v>-10</v>
      </c>
      <c r="C489" s="1">
        <f>J489/10*10^-3</f>
        <v>0</v>
      </c>
      <c r="E489" s="6">
        <f>F489-J489/4.186</f>
        <v>0</v>
      </c>
      <c r="F489" s="6"/>
      <c r="G489" s="8">
        <f>18/(4.86*5)</f>
        <v>0.7407407407407407</v>
      </c>
      <c r="K489" s="7">
        <f>J489-I489</f>
        <v>0</v>
      </c>
      <c r="L489" s="6"/>
      <c r="M489" s="5"/>
    </row>
    <row r="490" spans="1:13" x14ac:dyDescent="0.55000000000000004">
      <c r="A490" s="6"/>
      <c r="B490" s="8">
        <f>A490-10</f>
        <v>-10</v>
      </c>
      <c r="C490" s="1">
        <f>J490/10*10^-3</f>
        <v>0</v>
      </c>
      <c r="E490" s="6">
        <f>F490-J490/4.186</f>
        <v>0</v>
      </c>
      <c r="F490" s="6"/>
      <c r="G490" s="8">
        <f>18/(4.86*5)</f>
        <v>0.7407407407407407</v>
      </c>
      <c r="K490" s="7">
        <f>J490-I490</f>
        <v>0</v>
      </c>
      <c r="L490" s="6"/>
      <c r="M490" s="5"/>
    </row>
    <row r="491" spans="1:13" x14ac:dyDescent="0.55000000000000004">
      <c r="A491" s="6"/>
      <c r="B491" s="8">
        <f>A491-10</f>
        <v>-10</v>
      </c>
      <c r="C491" s="1">
        <f>J491/10*10^-3</f>
        <v>0</v>
      </c>
      <c r="E491" s="6">
        <f>F491-J491/4.186</f>
        <v>0</v>
      </c>
      <c r="F491" s="6"/>
      <c r="G491" s="8">
        <f>18/(4.86*5)</f>
        <v>0.7407407407407407</v>
      </c>
      <c r="K491" s="7">
        <f>J491-I491</f>
        <v>0</v>
      </c>
      <c r="L491" s="6"/>
      <c r="M491" s="5"/>
    </row>
    <row r="492" spans="1:13" x14ac:dyDescent="0.55000000000000004">
      <c r="A492" s="6"/>
      <c r="B492" s="8">
        <f>A492-10</f>
        <v>-10</v>
      </c>
      <c r="C492" s="1">
        <f>J492/10*10^-3</f>
        <v>0</v>
      </c>
      <c r="E492" s="6">
        <f>F492-J492/4.186</f>
        <v>0</v>
      </c>
      <c r="F492" s="6"/>
      <c r="G492" s="8">
        <f>18/(4.86*5)</f>
        <v>0.7407407407407407</v>
      </c>
      <c r="K492" s="7">
        <f>J492-I492</f>
        <v>0</v>
      </c>
      <c r="L492" s="6"/>
      <c r="M492" s="5"/>
    </row>
    <row r="493" spans="1:13" x14ac:dyDescent="0.55000000000000004">
      <c r="A493" s="6"/>
      <c r="B493" s="8">
        <f>A493-10</f>
        <v>-10</v>
      </c>
      <c r="C493" s="1">
        <f>J493/10*10^-3</f>
        <v>0</v>
      </c>
      <c r="E493" s="6">
        <f>F493-J493/4.186</f>
        <v>0</v>
      </c>
      <c r="F493" s="6"/>
      <c r="G493" s="8">
        <f>18/(4.86*5)</f>
        <v>0.7407407407407407</v>
      </c>
      <c r="K493" s="7">
        <f>J493-I493</f>
        <v>0</v>
      </c>
      <c r="L493" s="6"/>
      <c r="M493" s="5"/>
    </row>
    <row r="494" spans="1:13" x14ac:dyDescent="0.55000000000000004">
      <c r="A494" s="6"/>
      <c r="B494" s="8">
        <f>A494-10</f>
        <v>-10</v>
      </c>
      <c r="C494" s="1">
        <f>J494/10*10^-3</f>
        <v>0</v>
      </c>
      <c r="E494" s="6">
        <f>F494-J494/4.186</f>
        <v>0</v>
      </c>
      <c r="F494" s="6"/>
      <c r="G494" s="8">
        <f>18/(4.86*5)</f>
        <v>0.7407407407407407</v>
      </c>
      <c r="K494" s="7">
        <f>J494-I494</f>
        <v>0</v>
      </c>
      <c r="L494" s="6"/>
      <c r="M494" s="5"/>
    </row>
    <row r="495" spans="1:13" x14ac:dyDescent="0.55000000000000004">
      <c r="A495" s="6"/>
      <c r="B495" s="8">
        <f>A495-10</f>
        <v>-10</v>
      </c>
      <c r="C495" s="1">
        <f>J495/10*10^-3</f>
        <v>0</v>
      </c>
      <c r="E495" s="6">
        <f>F495-J495/4.186</f>
        <v>0</v>
      </c>
      <c r="F495" s="6"/>
      <c r="G495" s="8">
        <f>18/(4.86*5)</f>
        <v>0.7407407407407407</v>
      </c>
      <c r="K495" s="7">
        <f>J495-I495</f>
        <v>0</v>
      </c>
      <c r="L495" s="6"/>
      <c r="M495" s="5"/>
    </row>
    <row r="496" spans="1:13" x14ac:dyDescent="0.55000000000000004">
      <c r="A496" s="6"/>
      <c r="B496" s="8">
        <f>A496-10</f>
        <v>-10</v>
      </c>
      <c r="C496" s="1">
        <f>J496/10*10^-3</f>
        <v>0</v>
      </c>
      <c r="E496" s="6">
        <f>F496-J496/4.186</f>
        <v>0</v>
      </c>
      <c r="F496" s="6"/>
      <c r="G496" s="8">
        <f>18/(4.86*5)</f>
        <v>0.7407407407407407</v>
      </c>
      <c r="K496" s="7">
        <f>J496-I496</f>
        <v>0</v>
      </c>
      <c r="L496" s="6"/>
      <c r="M496" s="5"/>
    </row>
    <row r="497" spans="1:13" x14ac:dyDescent="0.55000000000000004">
      <c r="A497" s="6"/>
      <c r="B497" s="8">
        <f>A497-10</f>
        <v>-10</v>
      </c>
      <c r="C497" s="1">
        <f>J497/10*10^-3</f>
        <v>0</v>
      </c>
      <c r="E497" s="6">
        <f>F497-J497/4.186</f>
        <v>0</v>
      </c>
      <c r="F497" s="6"/>
      <c r="G497" s="8">
        <f>18/(4.86*5)</f>
        <v>0.7407407407407407</v>
      </c>
      <c r="K497" s="7">
        <f>J497-I497</f>
        <v>0</v>
      </c>
      <c r="L497" s="6"/>
      <c r="M497" s="5"/>
    </row>
    <row r="498" spans="1:13" x14ac:dyDescent="0.55000000000000004">
      <c r="A498" s="6"/>
      <c r="B498" s="8">
        <f>A498-10</f>
        <v>-10</v>
      </c>
      <c r="C498" s="1">
        <f>J498/10*10^-3</f>
        <v>0</v>
      </c>
      <c r="E498" s="6">
        <f>F498-J498/4.186</f>
        <v>0</v>
      </c>
      <c r="F498" s="6"/>
      <c r="G498" s="8">
        <f>18/(4.86*5)</f>
        <v>0.7407407407407407</v>
      </c>
      <c r="K498" s="7">
        <f>J498-I498</f>
        <v>0</v>
      </c>
      <c r="L498" s="6"/>
      <c r="M498" s="5"/>
    </row>
    <row r="499" spans="1:13" x14ac:dyDescent="0.55000000000000004">
      <c r="A499" s="6"/>
      <c r="B499" s="8">
        <f>A499-10</f>
        <v>-10</v>
      </c>
      <c r="C499" s="1">
        <f>J499/10*10^-3</f>
        <v>0</v>
      </c>
      <c r="E499" s="6">
        <f>F499-J499/4.186</f>
        <v>0</v>
      </c>
      <c r="F499" s="6"/>
      <c r="G499" s="8">
        <f>18/(4.86*5)</f>
        <v>0.7407407407407407</v>
      </c>
      <c r="K499" s="7">
        <f>J499-I499</f>
        <v>0</v>
      </c>
      <c r="L499" s="6"/>
      <c r="M499" s="5"/>
    </row>
    <row r="500" spans="1:13" x14ac:dyDescent="0.55000000000000004">
      <c r="A500" s="6"/>
      <c r="B500" s="8">
        <f>A500-10</f>
        <v>-10</v>
      </c>
      <c r="C500" s="1">
        <f>J500/10*10^-3</f>
        <v>0</v>
      </c>
      <c r="E500" s="6">
        <f>F500-J500/4.186</f>
        <v>0</v>
      </c>
      <c r="F500" s="6"/>
      <c r="G500" s="8">
        <f>18/(4.86*5)</f>
        <v>0.7407407407407407</v>
      </c>
      <c r="K500" s="7">
        <f>J500-I500</f>
        <v>0</v>
      </c>
      <c r="L500" s="6"/>
      <c r="M500" s="5"/>
    </row>
    <row r="501" spans="1:13" x14ac:dyDescent="0.55000000000000004">
      <c r="A501" s="6"/>
      <c r="B501" s="8">
        <f>A501-10</f>
        <v>-10</v>
      </c>
      <c r="C501" s="1">
        <f>J501/10*10^-3</f>
        <v>0</v>
      </c>
      <c r="E501" s="6">
        <f>F501-J501/4.186</f>
        <v>0</v>
      </c>
      <c r="F501" s="6"/>
      <c r="G501" s="8">
        <f>18/(4.86*5)</f>
        <v>0.7407407407407407</v>
      </c>
      <c r="K501" s="7">
        <f>J501-I501</f>
        <v>0</v>
      </c>
      <c r="L501" s="6"/>
      <c r="M501" s="5"/>
    </row>
    <row r="502" spans="1:13" x14ac:dyDescent="0.55000000000000004">
      <c r="A502" s="6"/>
      <c r="B502" s="8">
        <f>A502-10</f>
        <v>-10</v>
      </c>
      <c r="C502" s="1">
        <f>J502/10*10^-3</f>
        <v>0</v>
      </c>
      <c r="E502" s="6">
        <f>F502-J502/4.186</f>
        <v>0</v>
      </c>
      <c r="F502" s="6"/>
      <c r="G502" s="8">
        <f>18/(4.86*5)</f>
        <v>0.7407407407407407</v>
      </c>
      <c r="K502" s="7">
        <f>J502-I502</f>
        <v>0</v>
      </c>
      <c r="L502" s="6"/>
      <c r="M502" s="5"/>
    </row>
    <row r="503" spans="1:13" x14ac:dyDescent="0.55000000000000004">
      <c r="A503" s="6"/>
      <c r="B503" s="8">
        <f>A503-10</f>
        <v>-10</v>
      </c>
      <c r="C503" s="1">
        <f>J503/10*10^-3</f>
        <v>0</v>
      </c>
      <c r="E503" s="6">
        <f>F503-J503/4.186</f>
        <v>0</v>
      </c>
      <c r="F503" s="6"/>
      <c r="G503" s="8">
        <f>18/(4.86*5)</f>
        <v>0.7407407407407407</v>
      </c>
      <c r="K503" s="7">
        <f>J503-I503</f>
        <v>0</v>
      </c>
      <c r="L503" s="6"/>
      <c r="M503" s="5"/>
    </row>
    <row r="504" spans="1:13" x14ac:dyDescent="0.55000000000000004">
      <c r="A504" s="6"/>
      <c r="B504" s="8">
        <f>A504-10</f>
        <v>-10</v>
      </c>
      <c r="C504" s="1">
        <f>J504/10*10^-3</f>
        <v>0</v>
      </c>
      <c r="E504" s="6">
        <f>F504-J504/4.186</f>
        <v>0</v>
      </c>
      <c r="F504" s="6"/>
      <c r="G504" s="8">
        <f>18/(4.86*5)</f>
        <v>0.7407407407407407</v>
      </c>
      <c r="K504" s="7">
        <f>J504-I504</f>
        <v>0</v>
      </c>
      <c r="L504" s="6"/>
      <c r="M504" s="5"/>
    </row>
    <row r="505" spans="1:13" x14ac:dyDescent="0.55000000000000004">
      <c r="A505" s="6"/>
      <c r="B505" s="8">
        <f>A505-10</f>
        <v>-10</v>
      </c>
      <c r="C505" s="1">
        <f>J505/10*10^-3</f>
        <v>0</v>
      </c>
      <c r="E505" s="6">
        <f>F505-J505/4.186</f>
        <v>0</v>
      </c>
      <c r="F505" s="6"/>
      <c r="G505" s="8">
        <f>18/(4.86*5)</f>
        <v>0.7407407407407407</v>
      </c>
      <c r="K505" s="7">
        <f>J505-I505</f>
        <v>0</v>
      </c>
      <c r="L505" s="6"/>
      <c r="M505" s="5"/>
    </row>
    <row r="506" spans="1:13" x14ac:dyDescent="0.55000000000000004">
      <c r="A506" s="6"/>
      <c r="B506" s="8">
        <f>A506-10</f>
        <v>-10</v>
      </c>
      <c r="C506" s="1">
        <f>J506/10*10^-3</f>
        <v>0</v>
      </c>
      <c r="E506" s="6">
        <f>F506-J506/4.186</f>
        <v>0</v>
      </c>
      <c r="F506" s="6"/>
      <c r="G506" s="8">
        <f>18/(4.86*5)</f>
        <v>0.7407407407407407</v>
      </c>
      <c r="K506" s="7">
        <f>J506-I506</f>
        <v>0</v>
      </c>
      <c r="L506" s="6"/>
      <c r="M506" s="5"/>
    </row>
    <row r="507" spans="1:13" x14ac:dyDescent="0.55000000000000004">
      <c r="A507" s="6"/>
      <c r="B507" s="8">
        <f>A507-10</f>
        <v>-10</v>
      </c>
      <c r="C507" s="1">
        <f>J507/10*10^-3</f>
        <v>0</v>
      </c>
      <c r="E507" s="6">
        <f>F507-J507/4.186</f>
        <v>0</v>
      </c>
      <c r="F507" s="6"/>
      <c r="G507" s="8">
        <f>18/(4.86*5)</f>
        <v>0.7407407407407407</v>
      </c>
      <c r="K507" s="7">
        <f>J507-I507</f>
        <v>0</v>
      </c>
      <c r="L507" s="6"/>
      <c r="M507" s="5"/>
    </row>
    <row r="508" spans="1:13" x14ac:dyDescent="0.55000000000000004">
      <c r="A508" s="6"/>
      <c r="B508" s="8">
        <f>A508-10</f>
        <v>-10</v>
      </c>
      <c r="C508" s="1">
        <f>J508/10*10^-3</f>
        <v>0</v>
      </c>
      <c r="E508" s="6">
        <f>F508-J508/4.186</f>
        <v>0</v>
      </c>
      <c r="F508" s="6"/>
      <c r="G508" s="8">
        <f>18/(4.86*5)</f>
        <v>0.7407407407407407</v>
      </c>
      <c r="K508" s="7">
        <f>J508-I508</f>
        <v>0</v>
      </c>
      <c r="L508" s="6"/>
      <c r="M508" s="5"/>
    </row>
    <row r="509" spans="1:13" x14ac:dyDescent="0.55000000000000004">
      <c r="A509" s="6"/>
      <c r="B509" s="8">
        <f>A509-10</f>
        <v>-10</v>
      </c>
      <c r="C509" s="1">
        <f>J509/10*10^-3</f>
        <v>0</v>
      </c>
      <c r="E509" s="6">
        <f>F509-J509/4.186</f>
        <v>0</v>
      </c>
      <c r="F509" s="6"/>
      <c r="G509" s="8">
        <f>18/(4.86*5)</f>
        <v>0.7407407407407407</v>
      </c>
      <c r="K509" s="7">
        <f>J509-I509</f>
        <v>0</v>
      </c>
      <c r="L509" s="6"/>
      <c r="M509" s="5"/>
    </row>
    <row r="510" spans="1:13" x14ac:dyDescent="0.55000000000000004">
      <c r="A510" s="6"/>
      <c r="B510" s="8">
        <f>A510-10</f>
        <v>-10</v>
      </c>
      <c r="C510" s="1">
        <f>J510/10*10^-3</f>
        <v>0</v>
      </c>
      <c r="E510" s="6">
        <f>F510-J510/4.186</f>
        <v>0</v>
      </c>
      <c r="F510" s="6"/>
      <c r="G510" s="8">
        <f>18/(4.86*5)</f>
        <v>0.7407407407407407</v>
      </c>
      <c r="K510" s="7">
        <f>J510-I510</f>
        <v>0</v>
      </c>
      <c r="L510" s="6"/>
      <c r="M510" s="5"/>
    </row>
    <row r="511" spans="1:13" x14ac:dyDescent="0.55000000000000004">
      <c r="A511" s="6"/>
      <c r="B511" s="8">
        <f>A511-10</f>
        <v>-10</v>
      </c>
      <c r="C511" s="1">
        <f>J511/10*10^-3</f>
        <v>0</v>
      </c>
      <c r="E511" s="6">
        <f>F511-J511/4.186</f>
        <v>0</v>
      </c>
      <c r="F511" s="6"/>
      <c r="G511" s="8">
        <f>18/(4.86*5)</f>
        <v>0.7407407407407407</v>
      </c>
      <c r="K511" s="7">
        <f>J511-I511</f>
        <v>0</v>
      </c>
      <c r="L511" s="6"/>
      <c r="M511" s="5"/>
    </row>
    <row r="512" spans="1:13" x14ac:dyDescent="0.55000000000000004">
      <c r="A512" s="6"/>
      <c r="B512" s="8">
        <f>A512-10</f>
        <v>-10</v>
      </c>
      <c r="C512" s="1">
        <f>J512/10*10^-3</f>
        <v>0</v>
      </c>
      <c r="E512" s="6">
        <f>F512-J512/4.186</f>
        <v>0</v>
      </c>
      <c r="F512" s="6"/>
      <c r="G512" s="8">
        <f>18/(4.86*5)</f>
        <v>0.7407407407407407</v>
      </c>
      <c r="K512" s="7">
        <f>J512-I512</f>
        <v>0</v>
      </c>
      <c r="L512" s="6"/>
      <c r="M512" s="5"/>
    </row>
    <row r="513" spans="1:13" x14ac:dyDescent="0.55000000000000004">
      <c r="A513" s="6"/>
      <c r="B513" s="8">
        <f>A513-10</f>
        <v>-10</v>
      </c>
      <c r="C513" s="1">
        <f>J513/10*10^-3</f>
        <v>0</v>
      </c>
      <c r="E513" s="6">
        <f>F513-J513/4.186</f>
        <v>0</v>
      </c>
      <c r="F513" s="6"/>
      <c r="G513" s="8">
        <f>18/(4.86*5)</f>
        <v>0.7407407407407407</v>
      </c>
      <c r="K513" s="7">
        <f>J513-I513</f>
        <v>0</v>
      </c>
      <c r="L513" s="6"/>
      <c r="M513" s="5"/>
    </row>
    <row r="514" spans="1:13" x14ac:dyDescent="0.55000000000000004">
      <c r="A514" s="6"/>
      <c r="B514" s="8">
        <f>A514-10</f>
        <v>-10</v>
      </c>
      <c r="C514" s="1">
        <f>J514/10*10^-3</f>
        <v>0</v>
      </c>
      <c r="E514" s="6">
        <f>F514-J514/4.186</f>
        <v>0</v>
      </c>
      <c r="F514" s="6"/>
      <c r="G514" s="8">
        <f>18/(4.86*5)</f>
        <v>0.7407407407407407</v>
      </c>
      <c r="K514" s="7">
        <f>J514-I514</f>
        <v>0</v>
      </c>
      <c r="L514" s="6"/>
      <c r="M514" s="5"/>
    </row>
    <row r="515" spans="1:13" x14ac:dyDescent="0.55000000000000004">
      <c r="A515" s="6"/>
      <c r="B515" s="8">
        <f>A515-10</f>
        <v>-10</v>
      </c>
      <c r="C515" s="1">
        <f>J515/10*10^-3</f>
        <v>0</v>
      </c>
      <c r="E515" s="6">
        <f>F515-J515/4.186</f>
        <v>0</v>
      </c>
      <c r="F515" s="6"/>
      <c r="G515" s="8">
        <f>18/(4.86*5)</f>
        <v>0.7407407407407407</v>
      </c>
      <c r="K515" s="7">
        <f>J515-I515</f>
        <v>0</v>
      </c>
      <c r="L515" s="6"/>
      <c r="M515" s="5"/>
    </row>
    <row r="516" spans="1:13" x14ac:dyDescent="0.55000000000000004">
      <c r="A516" s="6"/>
      <c r="B516" s="8">
        <f>A516-10</f>
        <v>-10</v>
      </c>
      <c r="C516" s="1">
        <f>J516/10*10^-3</f>
        <v>0</v>
      </c>
      <c r="E516" s="6">
        <f>F516-J516/4.186</f>
        <v>0</v>
      </c>
      <c r="F516" s="6"/>
      <c r="G516" s="8">
        <f>18/(4.86*5)</f>
        <v>0.7407407407407407</v>
      </c>
      <c r="K516" s="7">
        <f>J516-I516</f>
        <v>0</v>
      </c>
      <c r="L516" s="6"/>
      <c r="M516" s="5"/>
    </row>
    <row r="517" spans="1:13" x14ac:dyDescent="0.55000000000000004">
      <c r="A517" s="6"/>
      <c r="B517" s="8">
        <f>A517-10</f>
        <v>-10</v>
      </c>
      <c r="C517" s="1">
        <f>J517/10*10^-3</f>
        <v>0</v>
      </c>
      <c r="E517" s="6">
        <f>F517-J517/4.186</f>
        <v>0</v>
      </c>
      <c r="F517" s="6"/>
      <c r="G517" s="8">
        <f>18/(4.86*5)</f>
        <v>0.7407407407407407</v>
      </c>
      <c r="K517" s="7">
        <f>J517-I517</f>
        <v>0</v>
      </c>
      <c r="L517" s="6"/>
      <c r="M517" s="5"/>
    </row>
    <row r="518" spans="1:13" x14ac:dyDescent="0.55000000000000004">
      <c r="A518" s="6"/>
      <c r="B518" s="8">
        <f>A518-10</f>
        <v>-10</v>
      </c>
      <c r="C518" s="1">
        <f>J518/10*10^-3</f>
        <v>0</v>
      </c>
      <c r="E518" s="6">
        <f>F518-J518/4.186</f>
        <v>0</v>
      </c>
      <c r="F518" s="6"/>
      <c r="G518" s="8">
        <f>18/(4.86*5)</f>
        <v>0.7407407407407407</v>
      </c>
      <c r="K518" s="7">
        <f>J518-I518</f>
        <v>0</v>
      </c>
      <c r="L518" s="6"/>
      <c r="M518" s="5"/>
    </row>
    <row r="519" spans="1:13" x14ac:dyDescent="0.55000000000000004">
      <c r="A519" s="6"/>
      <c r="B519" s="8">
        <f>A519-10</f>
        <v>-10</v>
      </c>
      <c r="C519" s="1">
        <f>J519/10*10^-3</f>
        <v>0</v>
      </c>
      <c r="E519" s="6">
        <f>F519-J519/4.186</f>
        <v>0</v>
      </c>
      <c r="F519" s="6"/>
      <c r="G519" s="8">
        <f>18/(4.86*5)</f>
        <v>0.7407407407407407</v>
      </c>
      <c r="K519" s="7">
        <f>J519-I519</f>
        <v>0</v>
      </c>
      <c r="L519" s="6"/>
      <c r="M519" s="5"/>
    </row>
    <row r="520" spans="1:13" x14ac:dyDescent="0.55000000000000004">
      <c r="A520" s="6"/>
      <c r="B520" s="8">
        <f>A520-10</f>
        <v>-10</v>
      </c>
      <c r="C520" s="1">
        <f>J520/10*10^-3</f>
        <v>0</v>
      </c>
      <c r="E520" s="6">
        <f>F520-J520/4.186</f>
        <v>0</v>
      </c>
      <c r="F520" s="6"/>
      <c r="G520" s="8">
        <f>18/(4.86*5)</f>
        <v>0.7407407407407407</v>
      </c>
      <c r="K520" s="7">
        <f>J520-I520</f>
        <v>0</v>
      </c>
      <c r="L520" s="6"/>
      <c r="M520" s="5"/>
    </row>
    <row r="521" spans="1:13" x14ac:dyDescent="0.55000000000000004">
      <c r="A521" s="6"/>
      <c r="B521" s="8">
        <f>A521-10</f>
        <v>-10</v>
      </c>
      <c r="C521" s="1">
        <f>J521/10*10^-3</f>
        <v>0</v>
      </c>
      <c r="E521" s="6">
        <f>F521-J521/4.186</f>
        <v>0</v>
      </c>
      <c r="F521" s="6"/>
      <c r="G521" s="8">
        <f>18/(4.86*5)</f>
        <v>0.7407407407407407</v>
      </c>
      <c r="K521" s="7">
        <f>J521-I521</f>
        <v>0</v>
      </c>
      <c r="L521" s="6"/>
      <c r="M521" s="5"/>
    </row>
    <row r="522" spans="1:13" x14ac:dyDescent="0.55000000000000004">
      <c r="A522" s="6"/>
      <c r="B522" s="8">
        <f>A522-10</f>
        <v>-10</v>
      </c>
      <c r="C522" s="1">
        <f>J522/10*10^-3</f>
        <v>0</v>
      </c>
      <c r="E522" s="6">
        <f>F522-J522/4.186</f>
        <v>0</v>
      </c>
      <c r="F522" s="6"/>
      <c r="G522" s="8">
        <f>18/(4.86*5)</f>
        <v>0.7407407407407407</v>
      </c>
      <c r="K522" s="7">
        <f>J522-I522</f>
        <v>0</v>
      </c>
      <c r="L522" s="6"/>
      <c r="M522" s="5"/>
    </row>
    <row r="523" spans="1:13" x14ac:dyDescent="0.55000000000000004">
      <c r="A523" s="6"/>
      <c r="B523" s="8">
        <f>A523-10</f>
        <v>-10</v>
      </c>
      <c r="C523" s="1">
        <f>J523/10*10^-3</f>
        <v>0</v>
      </c>
      <c r="E523" s="6">
        <f>F523-J523/4.186</f>
        <v>0</v>
      </c>
      <c r="F523" s="6"/>
      <c r="G523" s="8">
        <f>18/(4.86*5)</f>
        <v>0.7407407407407407</v>
      </c>
      <c r="K523" s="7">
        <f>J523-I523</f>
        <v>0</v>
      </c>
      <c r="L523" s="6"/>
      <c r="M523" s="5"/>
    </row>
    <row r="524" spans="1:13" x14ac:dyDescent="0.55000000000000004">
      <c r="A524" s="6"/>
      <c r="B524" s="8">
        <f>A524-10</f>
        <v>-10</v>
      </c>
      <c r="C524" s="1">
        <f>J524/10*10^-3</f>
        <v>0</v>
      </c>
      <c r="E524" s="6">
        <f>F524-J524/4.186</f>
        <v>0</v>
      </c>
      <c r="F524" s="6"/>
      <c r="G524" s="8">
        <f>18/(4.86*5)</f>
        <v>0.7407407407407407</v>
      </c>
      <c r="K524" s="7">
        <f>J524-I524</f>
        <v>0</v>
      </c>
      <c r="L524" s="6"/>
      <c r="M524" s="5"/>
    </row>
    <row r="525" spans="1:13" x14ac:dyDescent="0.55000000000000004">
      <c r="A525" s="6"/>
      <c r="B525" s="8">
        <f>A525-10</f>
        <v>-10</v>
      </c>
      <c r="C525" s="1">
        <f>J525/10*10^-3</f>
        <v>0</v>
      </c>
      <c r="E525" s="6">
        <f>F525-J525/4.186</f>
        <v>0</v>
      </c>
      <c r="F525" s="6"/>
      <c r="G525" s="8">
        <f>18/(4.86*5)</f>
        <v>0.7407407407407407</v>
      </c>
      <c r="K525" s="7">
        <f>J525-I525</f>
        <v>0</v>
      </c>
      <c r="L525" s="6"/>
      <c r="M525" s="5"/>
    </row>
    <row r="526" spans="1:13" x14ac:dyDescent="0.55000000000000004">
      <c r="A526" s="6"/>
      <c r="B526" s="8">
        <f>A526-10</f>
        <v>-10</v>
      </c>
      <c r="C526" s="1">
        <f>J526/10*10^-3</f>
        <v>0</v>
      </c>
      <c r="E526" s="6">
        <f>F526-J526/4.186</f>
        <v>0</v>
      </c>
      <c r="F526" s="6"/>
      <c r="G526" s="8">
        <f>18/(4.86*5)</f>
        <v>0.7407407407407407</v>
      </c>
      <c r="K526" s="7">
        <f>J526-I526</f>
        <v>0</v>
      </c>
      <c r="L526" s="6"/>
      <c r="M526" s="5"/>
    </row>
    <row r="527" spans="1:13" x14ac:dyDescent="0.55000000000000004">
      <c r="A527" s="6"/>
      <c r="B527" s="8">
        <f>A527-10</f>
        <v>-10</v>
      </c>
      <c r="C527" s="1">
        <f>J527/10*10^-3</f>
        <v>0</v>
      </c>
      <c r="E527" s="6">
        <f>F527-J527/4.186</f>
        <v>0</v>
      </c>
      <c r="F527" s="6"/>
      <c r="G527" s="8">
        <f>18/(4.86*5)</f>
        <v>0.7407407407407407</v>
      </c>
      <c r="K527" s="7">
        <f>J527-I527</f>
        <v>0</v>
      </c>
      <c r="L527" s="6"/>
      <c r="M527" s="5"/>
    </row>
    <row r="528" spans="1:13" x14ac:dyDescent="0.55000000000000004">
      <c r="A528" s="6"/>
      <c r="B528" s="8">
        <f>A528-10</f>
        <v>-10</v>
      </c>
      <c r="C528" s="1">
        <f>J528/10*10^-3</f>
        <v>0</v>
      </c>
      <c r="E528" s="6">
        <f>F528-J528/4.186</f>
        <v>0</v>
      </c>
      <c r="F528" s="6"/>
      <c r="G528" s="8">
        <f>18/(4.86*5)</f>
        <v>0.7407407407407407</v>
      </c>
      <c r="K528" s="7">
        <f>J528-I528</f>
        <v>0</v>
      </c>
      <c r="L528" s="6"/>
      <c r="M528" s="5"/>
    </row>
    <row r="529" spans="1:13" x14ac:dyDescent="0.55000000000000004">
      <c r="A529" s="6"/>
      <c r="B529" s="8">
        <f>A529-10</f>
        <v>-10</v>
      </c>
      <c r="C529" s="1">
        <f>J529/10*10^-3</f>
        <v>0</v>
      </c>
      <c r="E529" s="6">
        <f>F529-J529/4.186</f>
        <v>0</v>
      </c>
      <c r="F529" s="6"/>
      <c r="G529" s="8">
        <f>18/(4.86*5)</f>
        <v>0.7407407407407407</v>
      </c>
      <c r="K529" s="7">
        <f>J529-I529</f>
        <v>0</v>
      </c>
      <c r="L529" s="6"/>
      <c r="M529" s="5"/>
    </row>
    <row r="530" spans="1:13" x14ac:dyDescent="0.55000000000000004">
      <c r="A530" s="6"/>
      <c r="B530" s="8">
        <f>A530-10</f>
        <v>-10</v>
      </c>
      <c r="C530" s="1">
        <f>J530/10*10^-3</f>
        <v>0</v>
      </c>
      <c r="E530" s="6">
        <f>F530-J530/4.186</f>
        <v>0</v>
      </c>
      <c r="F530" s="6"/>
      <c r="G530" s="8">
        <f>18/(4.86*5)</f>
        <v>0.7407407407407407</v>
      </c>
      <c r="K530" s="7">
        <f>J530-I530</f>
        <v>0</v>
      </c>
      <c r="L530" s="6"/>
      <c r="M530" s="5"/>
    </row>
    <row r="531" spans="1:13" x14ac:dyDescent="0.55000000000000004">
      <c r="A531" s="6"/>
      <c r="B531" s="8">
        <f>A531-10</f>
        <v>-10</v>
      </c>
      <c r="C531" s="1">
        <f>J531/10*10^-3</f>
        <v>0</v>
      </c>
      <c r="E531" s="6">
        <f>F531-J531/4.186</f>
        <v>0</v>
      </c>
      <c r="F531" s="6"/>
      <c r="G531" s="8">
        <f>18/(4.86*5)</f>
        <v>0.7407407407407407</v>
      </c>
      <c r="K531" s="7">
        <f>J531-I531</f>
        <v>0</v>
      </c>
      <c r="L531" s="6"/>
      <c r="M531" s="5"/>
    </row>
    <row r="532" spans="1:13" x14ac:dyDescent="0.55000000000000004">
      <c r="A532" s="6"/>
      <c r="B532" s="8">
        <f>A532-10</f>
        <v>-10</v>
      </c>
      <c r="C532" s="1">
        <f>J532/10*10^-3</f>
        <v>0</v>
      </c>
      <c r="E532" s="6">
        <f>F532-J532/4.186</f>
        <v>0</v>
      </c>
      <c r="F532" s="6"/>
      <c r="G532" s="8">
        <f>18/(4.86*5)</f>
        <v>0.7407407407407407</v>
      </c>
      <c r="K532" s="7">
        <f>J532-I532</f>
        <v>0</v>
      </c>
      <c r="L532" s="6"/>
      <c r="M532" s="5"/>
    </row>
    <row r="533" spans="1:13" x14ac:dyDescent="0.55000000000000004">
      <c r="A533" s="6"/>
      <c r="B533" s="8">
        <f>A533-10</f>
        <v>-10</v>
      </c>
      <c r="C533" s="1">
        <f>J533/10*10^-3</f>
        <v>0</v>
      </c>
      <c r="E533" s="6">
        <f>F533-J533/4.186</f>
        <v>0</v>
      </c>
      <c r="F533" s="6"/>
      <c r="G533" s="8">
        <f>18/(4.86*5)</f>
        <v>0.7407407407407407</v>
      </c>
      <c r="K533" s="7">
        <f>J533-I533</f>
        <v>0</v>
      </c>
      <c r="L533" s="6"/>
      <c r="M533" s="5"/>
    </row>
    <row r="534" spans="1:13" x14ac:dyDescent="0.55000000000000004">
      <c r="A534" s="6"/>
      <c r="B534" s="8">
        <f>A534-10</f>
        <v>-10</v>
      </c>
      <c r="C534" s="1">
        <f>J534/10*10^-3</f>
        <v>0</v>
      </c>
      <c r="E534" s="6">
        <f>F534-J534/4.186</f>
        <v>0</v>
      </c>
      <c r="F534" s="6"/>
      <c r="G534" s="8">
        <f>18/(4.86*5)</f>
        <v>0.7407407407407407</v>
      </c>
      <c r="K534" s="7">
        <f>J534-I534</f>
        <v>0</v>
      </c>
      <c r="L534" s="6"/>
      <c r="M534" s="5"/>
    </row>
    <row r="535" spans="1:13" x14ac:dyDescent="0.55000000000000004">
      <c r="A535" s="6"/>
      <c r="B535" s="8">
        <f>A535-10</f>
        <v>-10</v>
      </c>
      <c r="C535" s="1">
        <f>J535/10*10^-3</f>
        <v>0</v>
      </c>
      <c r="E535" s="6">
        <f>F535-J535/4.186</f>
        <v>0</v>
      </c>
      <c r="F535" s="6"/>
      <c r="G535" s="8">
        <f>18/(4.86*5)</f>
        <v>0.7407407407407407</v>
      </c>
      <c r="K535" s="7">
        <f>J535-I535</f>
        <v>0</v>
      </c>
      <c r="L535" s="6"/>
      <c r="M535" s="5"/>
    </row>
    <row r="536" spans="1:13" x14ac:dyDescent="0.55000000000000004">
      <c r="A536" s="6"/>
      <c r="B536" s="8">
        <f>A536-10</f>
        <v>-10</v>
      </c>
      <c r="C536" s="1">
        <f>J536/10*10^-3</f>
        <v>0</v>
      </c>
      <c r="E536" s="6">
        <f>F536-J536/4.186</f>
        <v>0</v>
      </c>
      <c r="F536" s="6"/>
      <c r="G536" s="8">
        <f>18/(4.86*5)</f>
        <v>0.7407407407407407</v>
      </c>
      <c r="K536" s="7">
        <f>J536-I536</f>
        <v>0</v>
      </c>
      <c r="L536" s="6"/>
      <c r="M536" s="5"/>
    </row>
    <row r="537" spans="1:13" x14ac:dyDescent="0.55000000000000004">
      <c r="A537" s="6"/>
      <c r="B537" s="8">
        <f>A537-10</f>
        <v>-10</v>
      </c>
      <c r="C537" s="1">
        <f>J537/10*10^-3</f>
        <v>0</v>
      </c>
      <c r="E537" s="6">
        <f>F537-J537/4.186</f>
        <v>0</v>
      </c>
      <c r="F537" s="6"/>
      <c r="G537" s="8">
        <f>18/(4.86*5)</f>
        <v>0.7407407407407407</v>
      </c>
      <c r="K537" s="7">
        <f>J537-I537</f>
        <v>0</v>
      </c>
      <c r="L537" s="6"/>
      <c r="M537" s="5"/>
    </row>
    <row r="538" spans="1:13" x14ac:dyDescent="0.55000000000000004">
      <c r="A538" s="6"/>
      <c r="B538" s="8">
        <f>A538-10</f>
        <v>-10</v>
      </c>
      <c r="C538" s="1">
        <f>J538/10*10^-3</f>
        <v>0</v>
      </c>
      <c r="E538" s="6">
        <f>F538-J538/4.186</f>
        <v>0</v>
      </c>
      <c r="F538" s="6"/>
      <c r="G538" s="8">
        <f>18/(4.86*5)</f>
        <v>0.7407407407407407</v>
      </c>
      <c r="K538" s="7">
        <f>J538-I538</f>
        <v>0</v>
      </c>
      <c r="L538" s="6"/>
      <c r="M538" s="5"/>
    </row>
    <row r="539" spans="1:13" x14ac:dyDescent="0.55000000000000004">
      <c r="A539" s="6"/>
      <c r="B539" s="8">
        <f>A539-10</f>
        <v>-10</v>
      </c>
      <c r="C539" s="1">
        <f>J539/10*10^-3</f>
        <v>0</v>
      </c>
      <c r="E539" s="6">
        <f>F539-J539/4.186</f>
        <v>0</v>
      </c>
      <c r="F539" s="6"/>
      <c r="G539" s="8">
        <f>18/(4.86*5)</f>
        <v>0.7407407407407407</v>
      </c>
      <c r="K539" s="7">
        <f>J539-I539</f>
        <v>0</v>
      </c>
      <c r="L539" s="6"/>
      <c r="M539" s="5"/>
    </row>
    <row r="540" spans="1:13" x14ac:dyDescent="0.55000000000000004">
      <c r="A540" s="6"/>
      <c r="B540" s="8">
        <f>A540-10</f>
        <v>-10</v>
      </c>
      <c r="C540" s="1">
        <f>J540/10*10^-3</f>
        <v>0</v>
      </c>
      <c r="E540" s="6">
        <f>F540-J540/4.186</f>
        <v>0</v>
      </c>
      <c r="F540" s="6"/>
      <c r="G540" s="8">
        <f>18/(4.86*5)</f>
        <v>0.7407407407407407</v>
      </c>
      <c r="K540" s="7">
        <f>J540-I540</f>
        <v>0</v>
      </c>
      <c r="L540" s="6"/>
      <c r="M540" s="5"/>
    </row>
    <row r="541" spans="1:13" x14ac:dyDescent="0.55000000000000004">
      <c r="A541" s="6"/>
      <c r="B541" s="8">
        <f>A541-10</f>
        <v>-10</v>
      </c>
      <c r="C541" s="1">
        <f>J541/10*10^-3</f>
        <v>0</v>
      </c>
      <c r="E541" s="6">
        <f>F541-J541/4.186</f>
        <v>0</v>
      </c>
      <c r="F541" s="6"/>
      <c r="G541" s="8">
        <f>18/(4.86*5)</f>
        <v>0.7407407407407407</v>
      </c>
      <c r="K541" s="7">
        <f>J541-I541</f>
        <v>0</v>
      </c>
      <c r="L541" s="6"/>
      <c r="M541" s="5"/>
    </row>
    <row r="542" spans="1:13" x14ac:dyDescent="0.55000000000000004">
      <c r="A542" s="6"/>
      <c r="B542" s="8">
        <f>A542-10</f>
        <v>-10</v>
      </c>
      <c r="C542" s="1">
        <f>J542/10*10^-3</f>
        <v>0</v>
      </c>
      <c r="E542" s="6">
        <f>F542-J542/4.186</f>
        <v>0</v>
      </c>
      <c r="F542" s="6"/>
      <c r="G542" s="8">
        <f>18/(4.86*5)</f>
        <v>0.7407407407407407</v>
      </c>
      <c r="K542" s="7">
        <f>J542-I542</f>
        <v>0</v>
      </c>
      <c r="L542" s="6"/>
      <c r="M542" s="5"/>
    </row>
    <row r="543" spans="1:13" x14ac:dyDescent="0.55000000000000004">
      <c r="A543" s="6"/>
      <c r="B543" s="8">
        <f>A543-10</f>
        <v>-10</v>
      </c>
      <c r="C543" s="1">
        <f>J543/10*10^-3</f>
        <v>0</v>
      </c>
      <c r="E543" s="6">
        <f>F543-J543/4.186</f>
        <v>0</v>
      </c>
      <c r="F543" s="6"/>
      <c r="G543" s="8">
        <f>18/(4.86*5)</f>
        <v>0.7407407407407407</v>
      </c>
      <c r="K543" s="7">
        <f>J543-I543</f>
        <v>0</v>
      </c>
      <c r="L543" s="6"/>
      <c r="M543" s="5"/>
    </row>
    <row r="544" spans="1:13" x14ac:dyDescent="0.55000000000000004">
      <c r="A544" s="6"/>
      <c r="B544" s="8">
        <f>A544-10</f>
        <v>-10</v>
      </c>
      <c r="C544" s="1">
        <f>J544/10*10^-3</f>
        <v>0</v>
      </c>
      <c r="E544" s="6">
        <f>F544-J544/4.186</f>
        <v>0</v>
      </c>
      <c r="F544" s="6"/>
      <c r="G544" s="8">
        <f>18/(4.86*5)</f>
        <v>0.7407407407407407</v>
      </c>
      <c r="K544" s="7">
        <f>J544-I544</f>
        <v>0</v>
      </c>
      <c r="L544" s="6"/>
      <c r="M544" s="5"/>
    </row>
    <row r="545" spans="1:13" x14ac:dyDescent="0.55000000000000004">
      <c r="A545" s="6"/>
      <c r="B545" s="8">
        <f>A545-10</f>
        <v>-10</v>
      </c>
      <c r="C545" s="1">
        <f>J545/10*10^-3</f>
        <v>0</v>
      </c>
      <c r="E545" s="6">
        <f>F545-J545/4.186</f>
        <v>0</v>
      </c>
      <c r="F545" s="6"/>
      <c r="G545" s="8">
        <f>18/(4.86*5)</f>
        <v>0.7407407407407407</v>
      </c>
      <c r="K545" s="7">
        <f>J545-I545</f>
        <v>0</v>
      </c>
      <c r="L545" s="6"/>
      <c r="M545" s="5"/>
    </row>
    <row r="546" spans="1:13" x14ac:dyDescent="0.55000000000000004">
      <c r="A546" s="6"/>
      <c r="B546" s="8">
        <f>A546-10</f>
        <v>-10</v>
      </c>
      <c r="C546" s="1">
        <f>J546/10*10^-3</f>
        <v>0</v>
      </c>
      <c r="E546" s="6">
        <f>F546-J546/4.186</f>
        <v>0</v>
      </c>
      <c r="F546" s="6"/>
      <c r="G546" s="8">
        <f>18/(4.86*5)</f>
        <v>0.7407407407407407</v>
      </c>
      <c r="K546" s="7">
        <f>J546-I546</f>
        <v>0</v>
      </c>
      <c r="L546" s="6"/>
      <c r="M546" s="5"/>
    </row>
    <row r="547" spans="1:13" x14ac:dyDescent="0.55000000000000004">
      <c r="A547" s="6"/>
      <c r="B547" s="8">
        <f>A547-10</f>
        <v>-10</v>
      </c>
      <c r="C547" s="1">
        <f>J547/10*10^-3</f>
        <v>0</v>
      </c>
      <c r="E547" s="6">
        <f>F547-J547/4.186</f>
        <v>0</v>
      </c>
      <c r="F547" s="6"/>
      <c r="G547" s="8">
        <f>18/(4.86*5)</f>
        <v>0.7407407407407407</v>
      </c>
      <c r="K547" s="7">
        <f>J547-I547</f>
        <v>0</v>
      </c>
      <c r="L547" s="6"/>
      <c r="M547" s="5"/>
    </row>
    <row r="548" spans="1:13" x14ac:dyDescent="0.55000000000000004">
      <c r="A548" s="6"/>
      <c r="B548" s="8">
        <f>A548-10</f>
        <v>-10</v>
      </c>
      <c r="C548" s="1">
        <f>J548/10*10^-3</f>
        <v>0</v>
      </c>
      <c r="E548" s="6">
        <f>F548-J548/4.186</f>
        <v>0</v>
      </c>
      <c r="F548" s="6"/>
      <c r="G548" s="8">
        <f>18/(4.86*5)</f>
        <v>0.7407407407407407</v>
      </c>
      <c r="K548" s="7">
        <f>J548-I548</f>
        <v>0</v>
      </c>
      <c r="L548" s="6"/>
      <c r="M548" s="5"/>
    </row>
    <row r="549" spans="1:13" x14ac:dyDescent="0.55000000000000004">
      <c r="A549" s="6"/>
      <c r="B549" s="8">
        <f>A549-10</f>
        <v>-10</v>
      </c>
      <c r="C549" s="1">
        <f>J549/10*10^-3</f>
        <v>0</v>
      </c>
      <c r="E549" s="6">
        <f>F549-J549/4.186</f>
        <v>0</v>
      </c>
      <c r="F549" s="6"/>
      <c r="G549" s="8">
        <f>18/(4.86*5)</f>
        <v>0.7407407407407407</v>
      </c>
      <c r="K549" s="7">
        <f>J549-I549</f>
        <v>0</v>
      </c>
      <c r="L549" s="6"/>
      <c r="M549" s="5"/>
    </row>
    <row r="550" spans="1:13" x14ac:dyDescent="0.55000000000000004">
      <c r="A550" s="6"/>
      <c r="B550" s="8">
        <f>A550-10</f>
        <v>-10</v>
      </c>
      <c r="C550" s="1">
        <f>J550/10*10^-3</f>
        <v>0</v>
      </c>
      <c r="E550" s="6">
        <f>F550-J550/4.186</f>
        <v>0</v>
      </c>
      <c r="F550" s="6"/>
      <c r="G550" s="8">
        <f>18/(4.86*5)</f>
        <v>0.7407407407407407</v>
      </c>
      <c r="K550" s="7">
        <f>J550-I550</f>
        <v>0</v>
      </c>
      <c r="L550" s="6"/>
      <c r="M550" s="5"/>
    </row>
    <row r="551" spans="1:13" x14ac:dyDescent="0.55000000000000004">
      <c r="A551" s="6"/>
      <c r="B551" s="8">
        <f>A551-10</f>
        <v>-10</v>
      </c>
      <c r="C551" s="1">
        <f>J551/10*10^-3</f>
        <v>0</v>
      </c>
      <c r="E551" s="6">
        <f>F551-J551/4.186</f>
        <v>0</v>
      </c>
      <c r="F551" s="6"/>
      <c r="G551" s="8">
        <f>18/(4.86*5)</f>
        <v>0.7407407407407407</v>
      </c>
      <c r="K551" s="7">
        <f>J551-I551</f>
        <v>0</v>
      </c>
      <c r="L551" s="6"/>
      <c r="M551" s="5"/>
    </row>
    <row r="552" spans="1:13" x14ac:dyDescent="0.55000000000000004">
      <c r="A552" s="6"/>
      <c r="B552" s="8">
        <f>A552-10</f>
        <v>-10</v>
      </c>
      <c r="C552" s="1">
        <f>J552/10*10^-3</f>
        <v>0</v>
      </c>
      <c r="E552" s="6">
        <f>F552-J552/4.186</f>
        <v>0</v>
      </c>
      <c r="F552" s="6"/>
      <c r="G552" s="8">
        <f>18/(4.86*5)</f>
        <v>0.7407407407407407</v>
      </c>
      <c r="K552" s="7">
        <f>J552-I552</f>
        <v>0</v>
      </c>
      <c r="L552" s="6"/>
      <c r="M552" s="5"/>
    </row>
    <row r="553" spans="1:13" x14ac:dyDescent="0.55000000000000004">
      <c r="A553" s="6"/>
      <c r="B553" s="8">
        <f>A553-10</f>
        <v>-10</v>
      </c>
      <c r="C553" s="1">
        <f>J553/10*10^-3</f>
        <v>0</v>
      </c>
      <c r="E553" s="6">
        <f>F553-J553/4.186</f>
        <v>0</v>
      </c>
      <c r="F553" s="6"/>
      <c r="G553" s="8">
        <f>18/(4.86*5)</f>
        <v>0.7407407407407407</v>
      </c>
      <c r="K553" s="7">
        <f>J553-I553</f>
        <v>0</v>
      </c>
      <c r="L553" s="6"/>
      <c r="M553" s="5"/>
    </row>
    <row r="554" spans="1:13" x14ac:dyDescent="0.55000000000000004">
      <c r="A554" s="6"/>
      <c r="B554" s="8">
        <f>A554-10</f>
        <v>-10</v>
      </c>
      <c r="C554" s="1">
        <f>J554/10*10^-3</f>
        <v>0</v>
      </c>
      <c r="E554" s="6">
        <f>F554-J554/4.186</f>
        <v>0</v>
      </c>
      <c r="F554" s="6"/>
      <c r="G554" s="8">
        <f>18/(4.86*5)</f>
        <v>0.7407407407407407</v>
      </c>
      <c r="K554" s="7">
        <f>J554-I554</f>
        <v>0</v>
      </c>
      <c r="L554" s="6"/>
      <c r="M554" s="5"/>
    </row>
    <row r="555" spans="1:13" x14ac:dyDescent="0.55000000000000004">
      <c r="A555" s="6"/>
      <c r="B555" s="8">
        <f>A555-10</f>
        <v>-10</v>
      </c>
      <c r="C555" s="1">
        <f>J555/10*10^-3</f>
        <v>0</v>
      </c>
      <c r="E555" s="6">
        <f>F555-J555/4.186</f>
        <v>0</v>
      </c>
      <c r="F555" s="6"/>
      <c r="G555" s="8">
        <f>18/(4.86*5)</f>
        <v>0.7407407407407407</v>
      </c>
      <c r="K555" s="7">
        <f>J555-I555</f>
        <v>0</v>
      </c>
      <c r="L555" s="6"/>
      <c r="M555" s="5"/>
    </row>
    <row r="556" spans="1:13" x14ac:dyDescent="0.55000000000000004">
      <c r="A556" s="6"/>
      <c r="B556" s="8">
        <f>A556-10</f>
        <v>-10</v>
      </c>
      <c r="C556" s="1">
        <f>J556/10*10^-3</f>
        <v>0</v>
      </c>
      <c r="E556" s="6">
        <f>F556-J556/4.186</f>
        <v>0</v>
      </c>
      <c r="F556" s="6"/>
      <c r="G556" s="8">
        <f>18/(4.86*5)</f>
        <v>0.7407407407407407</v>
      </c>
      <c r="K556" s="7">
        <f>J556-I556</f>
        <v>0</v>
      </c>
      <c r="L556" s="6"/>
      <c r="M556" s="5"/>
    </row>
    <row r="557" spans="1:13" x14ac:dyDescent="0.55000000000000004">
      <c r="A557" s="6"/>
      <c r="B557" s="8">
        <f>A557-10</f>
        <v>-10</v>
      </c>
      <c r="C557" s="1">
        <f>J557/10*10^-3</f>
        <v>0</v>
      </c>
      <c r="E557" s="6">
        <f>F557-J557/4.186</f>
        <v>0</v>
      </c>
      <c r="F557" s="6"/>
      <c r="G557" s="8">
        <f>18/(4.86*5)</f>
        <v>0.7407407407407407</v>
      </c>
      <c r="K557" s="7">
        <f>J557-I557</f>
        <v>0</v>
      </c>
      <c r="L557" s="6"/>
      <c r="M557" s="5"/>
    </row>
    <row r="558" spans="1:13" x14ac:dyDescent="0.55000000000000004">
      <c r="A558" s="6"/>
      <c r="B558" s="8">
        <f>A558-10</f>
        <v>-10</v>
      </c>
      <c r="C558" s="1">
        <f>J558/10*10^-3</f>
        <v>0</v>
      </c>
      <c r="E558" s="6">
        <f>F558-J558/4.186</f>
        <v>0</v>
      </c>
      <c r="F558" s="6"/>
      <c r="G558" s="8">
        <f>18/(4.86*5)</f>
        <v>0.7407407407407407</v>
      </c>
      <c r="K558" s="7">
        <f>J558-I558</f>
        <v>0</v>
      </c>
      <c r="L558" s="6"/>
      <c r="M558" s="5"/>
    </row>
    <row r="559" spans="1:13" x14ac:dyDescent="0.55000000000000004">
      <c r="A559" s="6"/>
      <c r="B559" s="8">
        <f>A559-10</f>
        <v>-10</v>
      </c>
      <c r="C559" s="1">
        <f>J559/10*10^-3</f>
        <v>0</v>
      </c>
      <c r="E559" s="6">
        <f>F559-J559/4.186</f>
        <v>0</v>
      </c>
      <c r="F559" s="6"/>
      <c r="G559" s="8">
        <f>18/(4.86*5)</f>
        <v>0.7407407407407407</v>
      </c>
      <c r="K559" s="7">
        <f>J559-I559</f>
        <v>0</v>
      </c>
      <c r="L559" s="6"/>
      <c r="M559" s="5"/>
    </row>
    <row r="560" spans="1:13" x14ac:dyDescent="0.55000000000000004">
      <c r="A560" s="6"/>
      <c r="B560" s="8">
        <f>A560-10</f>
        <v>-10</v>
      </c>
      <c r="C560" s="1">
        <f>J560/10*10^-3</f>
        <v>0</v>
      </c>
      <c r="E560" s="6">
        <f>F560-J560/4.186</f>
        <v>0</v>
      </c>
      <c r="F560" s="6"/>
      <c r="G560" s="8">
        <f>18/(4.86*5)</f>
        <v>0.7407407407407407</v>
      </c>
      <c r="K560" s="7">
        <f>J560-I560</f>
        <v>0</v>
      </c>
      <c r="L560" s="6"/>
      <c r="M560" s="5"/>
    </row>
    <row r="561" spans="1:13" x14ac:dyDescent="0.55000000000000004">
      <c r="A561" s="6"/>
      <c r="B561" s="8">
        <f>A561-10</f>
        <v>-10</v>
      </c>
      <c r="C561" s="1">
        <f>J561/10*10^-3</f>
        <v>0</v>
      </c>
      <c r="E561" s="6">
        <f>F561-J561/4.186</f>
        <v>0</v>
      </c>
      <c r="F561" s="6"/>
      <c r="G561" s="8">
        <f>18/(4.86*5)</f>
        <v>0.7407407407407407</v>
      </c>
      <c r="K561" s="7">
        <f>J561-I561</f>
        <v>0</v>
      </c>
      <c r="L561" s="6"/>
      <c r="M561" s="5"/>
    </row>
    <row r="562" spans="1:13" x14ac:dyDescent="0.55000000000000004">
      <c r="A562" s="6"/>
      <c r="B562" s="8">
        <f>A562-10</f>
        <v>-10</v>
      </c>
      <c r="C562" s="1">
        <f>J562/10*10^-3</f>
        <v>0</v>
      </c>
      <c r="E562" s="6">
        <f>F562-J562/4.186</f>
        <v>0</v>
      </c>
      <c r="F562" s="6"/>
      <c r="G562" s="8">
        <f>18/(4.86*5)</f>
        <v>0.7407407407407407</v>
      </c>
      <c r="K562" s="7">
        <f>J562-I562</f>
        <v>0</v>
      </c>
      <c r="L562" s="6"/>
      <c r="M562" s="5"/>
    </row>
    <row r="563" spans="1:13" x14ac:dyDescent="0.55000000000000004">
      <c r="A563" s="6"/>
      <c r="B563" s="8">
        <f>A563-10</f>
        <v>-10</v>
      </c>
      <c r="C563" s="1">
        <f>J563/10*10^-3</f>
        <v>0</v>
      </c>
      <c r="E563" s="6">
        <f>F563-J563/4.186</f>
        <v>0</v>
      </c>
      <c r="F563" s="6"/>
      <c r="G563" s="8">
        <f>18/(4.86*5)</f>
        <v>0.7407407407407407</v>
      </c>
      <c r="K563" s="7">
        <f>J563-I563</f>
        <v>0</v>
      </c>
      <c r="L563" s="6"/>
      <c r="M563" s="5"/>
    </row>
    <row r="564" spans="1:13" x14ac:dyDescent="0.55000000000000004">
      <c r="A564" s="6"/>
      <c r="B564" s="8">
        <f>A564-10</f>
        <v>-10</v>
      </c>
      <c r="C564" s="1">
        <f>J564/10*10^-3</f>
        <v>0</v>
      </c>
      <c r="E564" s="6">
        <f>F564-J564/4.186</f>
        <v>0</v>
      </c>
      <c r="F564" s="6"/>
      <c r="G564" s="8">
        <f>18/(4.86*5)</f>
        <v>0.7407407407407407</v>
      </c>
      <c r="K564" s="7">
        <f>J564-I564</f>
        <v>0</v>
      </c>
      <c r="L564" s="6"/>
      <c r="M564" s="5"/>
    </row>
    <row r="565" spans="1:13" x14ac:dyDescent="0.55000000000000004">
      <c r="A565" s="6"/>
      <c r="B565" s="8">
        <f>A565-10</f>
        <v>-10</v>
      </c>
      <c r="C565" s="1">
        <f>J565/10*10^-3</f>
        <v>0</v>
      </c>
      <c r="E565" s="6">
        <f>F565-J565/4.186</f>
        <v>0</v>
      </c>
      <c r="F565" s="6"/>
      <c r="G565" s="8">
        <f>18/(4.86*5)</f>
        <v>0.7407407407407407</v>
      </c>
      <c r="K565" s="7">
        <f>J565-I565</f>
        <v>0</v>
      </c>
      <c r="L565" s="6"/>
      <c r="M565" s="5"/>
    </row>
    <row r="566" spans="1:13" x14ac:dyDescent="0.55000000000000004">
      <c r="A566" s="6"/>
      <c r="B566" s="8">
        <f>A566-10</f>
        <v>-10</v>
      </c>
      <c r="C566" s="1">
        <f>J566/10*10^-3</f>
        <v>0</v>
      </c>
      <c r="E566" s="6">
        <f>F566-J566/4.186</f>
        <v>0</v>
      </c>
      <c r="F566" s="6"/>
      <c r="G566" s="8">
        <f>18/(4.86*5)</f>
        <v>0.7407407407407407</v>
      </c>
      <c r="K566" s="7">
        <f>J566-I566</f>
        <v>0</v>
      </c>
      <c r="L566" s="6"/>
      <c r="M566" s="5"/>
    </row>
    <row r="567" spans="1:13" x14ac:dyDescent="0.55000000000000004">
      <c r="A567" s="6"/>
      <c r="B567" s="8">
        <f>A567-10</f>
        <v>-10</v>
      </c>
      <c r="C567" s="1">
        <f>J567/10*10^-3</f>
        <v>0</v>
      </c>
      <c r="E567" s="6">
        <f>F567-J567/4.186</f>
        <v>0</v>
      </c>
      <c r="F567" s="6"/>
      <c r="G567" s="8">
        <f>18/(4.86*5)</f>
        <v>0.7407407407407407</v>
      </c>
      <c r="K567" s="7">
        <f>J567-I567</f>
        <v>0</v>
      </c>
      <c r="L567" s="6"/>
      <c r="M567" s="5"/>
    </row>
    <row r="568" spans="1:13" x14ac:dyDescent="0.55000000000000004">
      <c r="A568" s="6"/>
      <c r="B568" s="8">
        <f>A568-10</f>
        <v>-10</v>
      </c>
      <c r="C568" s="1">
        <f>J568/10*10^-3</f>
        <v>0</v>
      </c>
      <c r="E568" s="6">
        <f>F568-J568/4.186</f>
        <v>0</v>
      </c>
      <c r="F568" s="6"/>
      <c r="G568" s="8">
        <f>18/(4.86*5)</f>
        <v>0.7407407407407407</v>
      </c>
      <c r="K568" s="7">
        <f>J568-I568</f>
        <v>0</v>
      </c>
      <c r="L568" s="6"/>
      <c r="M568" s="5"/>
    </row>
    <row r="569" spans="1:13" x14ac:dyDescent="0.55000000000000004">
      <c r="A569" s="6"/>
      <c r="B569" s="8">
        <f>A569-10</f>
        <v>-10</v>
      </c>
      <c r="C569" s="1">
        <f>J569/10*10^-3</f>
        <v>0</v>
      </c>
      <c r="E569" s="6">
        <f>F569-J569/4.186</f>
        <v>0</v>
      </c>
      <c r="F569" s="6"/>
      <c r="G569" s="8">
        <f>18/(4.86*5)</f>
        <v>0.7407407407407407</v>
      </c>
      <c r="K569" s="7">
        <f>J569-I569</f>
        <v>0</v>
      </c>
      <c r="L569" s="6"/>
      <c r="M569" s="5"/>
    </row>
    <row r="570" spans="1:13" x14ac:dyDescent="0.55000000000000004">
      <c r="A570" s="6"/>
      <c r="B570" s="8">
        <f>A570-10</f>
        <v>-10</v>
      </c>
      <c r="C570" s="1">
        <f>J570/10*10^-3</f>
        <v>0</v>
      </c>
      <c r="E570" s="6">
        <f>F570-J570/4.186</f>
        <v>0</v>
      </c>
      <c r="F570" s="6"/>
      <c r="G570" s="8">
        <f>18/(4.86*5)</f>
        <v>0.7407407407407407</v>
      </c>
      <c r="K570" s="7">
        <f>J570-I570</f>
        <v>0</v>
      </c>
      <c r="L570" s="6"/>
      <c r="M570" s="5"/>
    </row>
    <row r="571" spans="1:13" x14ac:dyDescent="0.55000000000000004">
      <c r="A571" s="6"/>
      <c r="B571" s="8">
        <f>A571-10</f>
        <v>-10</v>
      </c>
      <c r="C571" s="1">
        <f>J571/10*10^-3</f>
        <v>0</v>
      </c>
      <c r="E571" s="6">
        <f>F571-J571/4.186</f>
        <v>0</v>
      </c>
      <c r="F571" s="6"/>
      <c r="G571" s="8">
        <f>18/(4.86*5)</f>
        <v>0.7407407407407407</v>
      </c>
      <c r="K571" s="7">
        <f>J571-I571</f>
        <v>0</v>
      </c>
      <c r="L571" s="6"/>
      <c r="M571" s="5"/>
    </row>
    <row r="572" spans="1:13" x14ac:dyDescent="0.55000000000000004">
      <c r="A572" s="6"/>
      <c r="B572" s="8">
        <f>A572-10</f>
        <v>-10</v>
      </c>
      <c r="C572" s="1">
        <f>J572/10*10^-3</f>
        <v>0</v>
      </c>
      <c r="E572" s="6">
        <f>F572-J572/4.186</f>
        <v>0</v>
      </c>
      <c r="F572" s="6"/>
      <c r="G572" s="8">
        <f>18/(4.86*5)</f>
        <v>0.7407407407407407</v>
      </c>
      <c r="K572" s="7">
        <f>J572-I572</f>
        <v>0</v>
      </c>
      <c r="L572" s="6"/>
      <c r="M572" s="5"/>
    </row>
    <row r="573" spans="1:13" x14ac:dyDescent="0.55000000000000004">
      <c r="A573" s="6"/>
      <c r="B573" s="8">
        <f>A573-10</f>
        <v>-10</v>
      </c>
      <c r="C573" s="1">
        <f>J573/10*10^-3</f>
        <v>0</v>
      </c>
      <c r="E573" s="6">
        <f>F573-J573/4.186</f>
        <v>0</v>
      </c>
      <c r="F573" s="6"/>
      <c r="G573" s="8">
        <f>18/(4.86*5)</f>
        <v>0.7407407407407407</v>
      </c>
      <c r="K573" s="7">
        <f>J573-I573</f>
        <v>0</v>
      </c>
      <c r="L573" s="6"/>
      <c r="M573" s="5"/>
    </row>
    <row r="574" spans="1:13" x14ac:dyDescent="0.55000000000000004">
      <c r="A574" s="6"/>
      <c r="B574" s="8">
        <f>A574-10</f>
        <v>-10</v>
      </c>
      <c r="C574" s="1">
        <f>J574/10*10^-3</f>
        <v>0</v>
      </c>
      <c r="E574" s="6">
        <f>F574-J574/4.186</f>
        <v>0</v>
      </c>
      <c r="F574" s="6"/>
      <c r="G574" s="8">
        <f>18/(4.86*5)</f>
        <v>0.7407407407407407</v>
      </c>
      <c r="K574" s="7">
        <f>J574-I574</f>
        <v>0</v>
      </c>
      <c r="L574" s="6"/>
      <c r="M574" s="5"/>
    </row>
    <row r="575" spans="1:13" x14ac:dyDescent="0.55000000000000004">
      <c r="A575" s="6"/>
      <c r="B575" s="8">
        <f>A575-10</f>
        <v>-10</v>
      </c>
      <c r="C575" s="1">
        <f>J575/10*10^-3</f>
        <v>0</v>
      </c>
      <c r="E575" s="6">
        <f>F575-J575/4.186</f>
        <v>0</v>
      </c>
      <c r="F575" s="6"/>
      <c r="G575" s="8">
        <f>18/(4.86*5)</f>
        <v>0.7407407407407407</v>
      </c>
      <c r="K575" s="7">
        <f>J575-I575</f>
        <v>0</v>
      </c>
      <c r="L575" s="6"/>
      <c r="M575" s="5"/>
    </row>
    <row r="576" spans="1:13" x14ac:dyDescent="0.55000000000000004">
      <c r="A576" s="6"/>
      <c r="B576" s="8">
        <f>A576-10</f>
        <v>-10</v>
      </c>
      <c r="C576" s="1">
        <f>J576/10*10^-3</f>
        <v>0</v>
      </c>
      <c r="E576" s="6">
        <f>F576-J576/4.186</f>
        <v>0</v>
      </c>
      <c r="F576" s="6"/>
      <c r="G576" s="8">
        <f>18/(4.86*5)</f>
        <v>0.7407407407407407</v>
      </c>
      <c r="K576" s="7">
        <f>J576-I576</f>
        <v>0</v>
      </c>
      <c r="L576" s="6"/>
      <c r="M576" s="5"/>
    </row>
    <row r="577" spans="1:13" x14ac:dyDescent="0.55000000000000004">
      <c r="A577" s="6"/>
      <c r="B577" s="8">
        <f>A577-10</f>
        <v>-10</v>
      </c>
      <c r="C577" s="1">
        <f>J577/10*10^-3</f>
        <v>0</v>
      </c>
      <c r="E577" s="6">
        <f>F577-J577/4.186</f>
        <v>0</v>
      </c>
      <c r="F577" s="6"/>
      <c r="G577" s="8">
        <f>18/(4.86*5)</f>
        <v>0.7407407407407407</v>
      </c>
      <c r="K577" s="7">
        <f>J577-I577</f>
        <v>0</v>
      </c>
      <c r="L577" s="6"/>
      <c r="M577" s="5"/>
    </row>
    <row r="578" spans="1:13" x14ac:dyDescent="0.55000000000000004">
      <c r="A578" s="6"/>
      <c r="B578" s="8">
        <f>A578-10</f>
        <v>-10</v>
      </c>
      <c r="C578" s="1">
        <f>J578/10*10^-3</f>
        <v>0</v>
      </c>
      <c r="E578" s="6">
        <f>F578-J578/4.186</f>
        <v>0</v>
      </c>
      <c r="F578" s="6"/>
      <c r="G578" s="8">
        <f>18/(4.86*5)</f>
        <v>0.7407407407407407</v>
      </c>
      <c r="K578" s="7">
        <f>J578-I578</f>
        <v>0</v>
      </c>
      <c r="L578" s="6"/>
      <c r="M578" s="5"/>
    </row>
    <row r="579" spans="1:13" x14ac:dyDescent="0.55000000000000004">
      <c r="A579" s="6"/>
      <c r="B579" s="8">
        <f>A579-10</f>
        <v>-10</v>
      </c>
      <c r="C579" s="1">
        <f>J579/10*10^-3</f>
        <v>0</v>
      </c>
      <c r="E579" s="6">
        <f>F579-J579/4.186</f>
        <v>0</v>
      </c>
      <c r="F579" s="6"/>
      <c r="G579" s="8">
        <f>18/(4.86*5)</f>
        <v>0.7407407407407407</v>
      </c>
      <c r="K579" s="7">
        <f>J579-I579</f>
        <v>0</v>
      </c>
      <c r="L579" s="6"/>
      <c r="M579" s="5"/>
    </row>
    <row r="580" spans="1:13" x14ac:dyDescent="0.55000000000000004">
      <c r="A580" s="6"/>
      <c r="B580" s="8">
        <f>A580-10</f>
        <v>-10</v>
      </c>
      <c r="C580" s="1">
        <f>J580/10*10^-3</f>
        <v>0</v>
      </c>
      <c r="E580" s="6">
        <f>F580-J580/4.186</f>
        <v>0</v>
      </c>
      <c r="F580" s="6"/>
      <c r="G580" s="8">
        <f>18/(4.86*5)</f>
        <v>0.7407407407407407</v>
      </c>
      <c r="K580" s="7">
        <f>J580-I580</f>
        <v>0</v>
      </c>
      <c r="L580" s="6"/>
      <c r="M580" s="5"/>
    </row>
    <row r="581" spans="1:13" x14ac:dyDescent="0.55000000000000004">
      <c r="A581" s="6"/>
      <c r="B581" s="8">
        <f>A581-10</f>
        <v>-10</v>
      </c>
      <c r="C581" s="1">
        <f>J581/10*10^-3</f>
        <v>0</v>
      </c>
      <c r="E581" s="6">
        <f>F581-J581/4.186</f>
        <v>0</v>
      </c>
      <c r="F581" s="6"/>
      <c r="G581" s="8">
        <f>18/(4.86*5)</f>
        <v>0.7407407407407407</v>
      </c>
      <c r="K581" s="7">
        <f>J581-I581</f>
        <v>0</v>
      </c>
      <c r="L581" s="6"/>
      <c r="M581" s="5"/>
    </row>
    <row r="582" spans="1:13" x14ac:dyDescent="0.55000000000000004">
      <c r="A582" s="6"/>
      <c r="B582" s="8">
        <f>A582-10</f>
        <v>-10</v>
      </c>
      <c r="C582" s="1">
        <f>J582/10*10^-3</f>
        <v>0</v>
      </c>
      <c r="E582" s="6">
        <f>F582-J582/4.186</f>
        <v>0</v>
      </c>
      <c r="F582" s="6"/>
      <c r="G582" s="8">
        <f>18/(4.86*5)</f>
        <v>0.7407407407407407</v>
      </c>
      <c r="K582" s="7">
        <f>J582-I582</f>
        <v>0</v>
      </c>
      <c r="L582" s="6"/>
      <c r="M582" s="5"/>
    </row>
    <row r="583" spans="1:13" x14ac:dyDescent="0.55000000000000004">
      <c r="A583" s="6"/>
      <c r="B583" s="8">
        <f>A583-10</f>
        <v>-10</v>
      </c>
      <c r="C583" s="1">
        <f>J583/10*10^-3</f>
        <v>0</v>
      </c>
      <c r="E583" s="6">
        <f>F583-J583/4.186</f>
        <v>0</v>
      </c>
      <c r="F583" s="6"/>
      <c r="G583" s="8">
        <f>18/(4.86*5)</f>
        <v>0.7407407407407407</v>
      </c>
      <c r="K583" s="7">
        <f>J583-I583</f>
        <v>0</v>
      </c>
      <c r="L583" s="6"/>
      <c r="M583" s="5"/>
    </row>
    <row r="584" spans="1:13" x14ac:dyDescent="0.55000000000000004">
      <c r="A584" s="6"/>
      <c r="B584" s="8">
        <f>A584-10</f>
        <v>-10</v>
      </c>
      <c r="C584" s="1">
        <f>J584/10*10^-3</f>
        <v>0</v>
      </c>
      <c r="E584" s="6">
        <f>F584-J584/4.186</f>
        <v>0</v>
      </c>
      <c r="F584" s="6"/>
      <c r="G584" s="8">
        <f>18/(4.86*5)</f>
        <v>0.7407407407407407</v>
      </c>
      <c r="K584" s="7">
        <f>J584-I584</f>
        <v>0</v>
      </c>
      <c r="L584" s="6"/>
      <c r="M584" s="5"/>
    </row>
    <row r="585" spans="1:13" x14ac:dyDescent="0.55000000000000004">
      <c r="A585" s="6"/>
      <c r="B585" s="8">
        <f>A585-10</f>
        <v>-10</v>
      </c>
      <c r="C585" s="1">
        <f>J585/10*10^-3</f>
        <v>0</v>
      </c>
      <c r="E585" s="6">
        <f>F585-J585/4.186</f>
        <v>0</v>
      </c>
      <c r="F585" s="6"/>
      <c r="G585" s="8">
        <f>18/(4.86*5)</f>
        <v>0.7407407407407407</v>
      </c>
      <c r="K585" s="7">
        <f>J585-I585</f>
        <v>0</v>
      </c>
      <c r="L585" s="6"/>
      <c r="M585" s="5"/>
    </row>
    <row r="586" spans="1:13" x14ac:dyDescent="0.55000000000000004">
      <c r="A586" s="6"/>
      <c r="B586" s="8">
        <f>A586-10</f>
        <v>-10</v>
      </c>
      <c r="C586" s="1">
        <f>J586/10*10^-3</f>
        <v>0</v>
      </c>
      <c r="E586" s="6">
        <f>F586-J586/4.186</f>
        <v>0</v>
      </c>
      <c r="F586" s="6"/>
      <c r="G586" s="8">
        <f>18/(4.86*5)</f>
        <v>0.7407407407407407</v>
      </c>
      <c r="K586" s="7">
        <f>J586-I586</f>
        <v>0</v>
      </c>
      <c r="L586" s="6"/>
      <c r="M586" s="5"/>
    </row>
    <row r="587" spans="1:13" x14ac:dyDescent="0.55000000000000004">
      <c r="A587" s="6"/>
      <c r="B587" s="8">
        <f>A587-10</f>
        <v>-10</v>
      </c>
      <c r="C587" s="1">
        <f>J587/10*10^-3</f>
        <v>0</v>
      </c>
      <c r="E587" s="6">
        <f>F587-J587/4.186</f>
        <v>0</v>
      </c>
      <c r="F587" s="6"/>
      <c r="G587" s="8">
        <f>18/(4.86*5)</f>
        <v>0.7407407407407407</v>
      </c>
      <c r="K587" s="7">
        <f>J587-I587</f>
        <v>0</v>
      </c>
      <c r="L587" s="6"/>
      <c r="M587" s="5"/>
    </row>
    <row r="588" spans="1:13" x14ac:dyDescent="0.55000000000000004">
      <c r="A588" s="6"/>
      <c r="B588" s="8">
        <f>A588-10</f>
        <v>-10</v>
      </c>
      <c r="C588" s="1">
        <f>J588/10*10^-3</f>
        <v>0</v>
      </c>
      <c r="E588" s="6">
        <f>F588-J588/4.186</f>
        <v>0</v>
      </c>
      <c r="F588" s="6"/>
      <c r="G588" s="8">
        <f>18/(4.86*5)</f>
        <v>0.7407407407407407</v>
      </c>
      <c r="K588" s="7">
        <f>J588-I588</f>
        <v>0</v>
      </c>
      <c r="L588" s="6"/>
      <c r="M588" s="5"/>
    </row>
    <row r="589" spans="1:13" x14ac:dyDescent="0.55000000000000004">
      <c r="A589" s="6"/>
      <c r="B589" s="8">
        <f>A589-10</f>
        <v>-10</v>
      </c>
      <c r="C589" s="1">
        <f>J589/10*10^-3</f>
        <v>0</v>
      </c>
      <c r="E589" s="6">
        <f>F589-J589/4.186</f>
        <v>0</v>
      </c>
      <c r="F589" s="6"/>
      <c r="G589" s="8">
        <f>18/(4.86*5)</f>
        <v>0.7407407407407407</v>
      </c>
      <c r="K589" s="7">
        <f>J589-I589</f>
        <v>0</v>
      </c>
      <c r="L589" s="6"/>
      <c r="M589" s="5"/>
    </row>
    <row r="590" spans="1:13" x14ac:dyDescent="0.55000000000000004">
      <c r="A590" s="6"/>
      <c r="B590" s="8">
        <f>A590-10</f>
        <v>-10</v>
      </c>
      <c r="C590" s="1">
        <f>J590/10*10^-3</f>
        <v>0</v>
      </c>
      <c r="E590" s="6">
        <f>F590-J590/4.186</f>
        <v>0</v>
      </c>
      <c r="F590" s="6"/>
      <c r="G590" s="8">
        <f>18/(4.86*5)</f>
        <v>0.7407407407407407</v>
      </c>
      <c r="K590" s="7">
        <f>J590-I590</f>
        <v>0</v>
      </c>
      <c r="L590" s="6"/>
      <c r="M590" s="5"/>
    </row>
    <row r="591" spans="1:13" x14ac:dyDescent="0.55000000000000004">
      <c r="A591" s="6"/>
      <c r="B591" s="8">
        <f>A591-10</f>
        <v>-10</v>
      </c>
      <c r="C591" s="1">
        <f>J591/10*10^-3</f>
        <v>0</v>
      </c>
      <c r="E591" s="6">
        <f>F591-J591/4.186</f>
        <v>0</v>
      </c>
      <c r="F591" s="6"/>
      <c r="G591" s="8">
        <f>18/(4.86*5)</f>
        <v>0.7407407407407407</v>
      </c>
      <c r="K591" s="7">
        <f>J591-I591</f>
        <v>0</v>
      </c>
      <c r="L591" s="6"/>
      <c r="M591" s="5"/>
    </row>
    <row r="592" spans="1:13" x14ac:dyDescent="0.55000000000000004">
      <c r="A592" s="6"/>
      <c r="B592" s="8">
        <f>A592-10</f>
        <v>-10</v>
      </c>
      <c r="C592" s="1">
        <f>J592/10*10^-3</f>
        <v>0</v>
      </c>
      <c r="E592" s="6">
        <f>F592-J592/4.186</f>
        <v>0</v>
      </c>
      <c r="F592" s="6"/>
      <c r="G592" s="8">
        <f>18/(4.86*5)</f>
        <v>0.7407407407407407</v>
      </c>
      <c r="K592" s="7">
        <f>J592-I592</f>
        <v>0</v>
      </c>
      <c r="L592" s="6"/>
      <c r="M592" s="5"/>
    </row>
    <row r="593" spans="1:13" x14ac:dyDescent="0.55000000000000004">
      <c r="A593" s="6"/>
      <c r="B593" s="8">
        <f>A593-10</f>
        <v>-10</v>
      </c>
      <c r="C593" s="1">
        <f>J593/10*10^-3</f>
        <v>0</v>
      </c>
      <c r="E593" s="6">
        <f>F593-J593/4.186</f>
        <v>0</v>
      </c>
      <c r="F593" s="6"/>
      <c r="G593" s="8">
        <f>18/(4.86*5)</f>
        <v>0.7407407407407407</v>
      </c>
      <c r="K593" s="7">
        <f>J593-I593</f>
        <v>0</v>
      </c>
      <c r="L593" s="6"/>
      <c r="M593" s="5"/>
    </row>
    <row r="594" spans="1:13" x14ac:dyDescent="0.55000000000000004">
      <c r="A594" s="6"/>
      <c r="B594" s="8">
        <f>A594-10</f>
        <v>-10</v>
      </c>
      <c r="C594" s="1">
        <f>J594/10*10^-3</f>
        <v>0</v>
      </c>
      <c r="E594" s="6">
        <f>F594-J594/4.186</f>
        <v>0</v>
      </c>
      <c r="F594" s="6"/>
      <c r="G594" s="8">
        <f>18/(4.86*5)</f>
        <v>0.7407407407407407</v>
      </c>
      <c r="K594" s="7">
        <f>J594-I594</f>
        <v>0</v>
      </c>
      <c r="L594" s="6"/>
      <c r="M594" s="5"/>
    </row>
    <row r="595" spans="1:13" x14ac:dyDescent="0.55000000000000004">
      <c r="A595" s="6"/>
      <c r="B595" s="8">
        <f>A595-10</f>
        <v>-10</v>
      </c>
      <c r="C595" s="1">
        <f>J595/10*10^-3</f>
        <v>0</v>
      </c>
      <c r="E595" s="6">
        <f>F595-J595/4.186</f>
        <v>0</v>
      </c>
      <c r="F595" s="6"/>
      <c r="G595" s="8">
        <f>18/(4.86*5)</f>
        <v>0.7407407407407407</v>
      </c>
      <c r="K595" s="7">
        <f>J595-I595</f>
        <v>0</v>
      </c>
      <c r="L595" s="6"/>
      <c r="M595" s="5"/>
    </row>
    <row r="596" spans="1:13" x14ac:dyDescent="0.55000000000000004">
      <c r="A596" s="6"/>
      <c r="B596" s="8">
        <f>A596-10</f>
        <v>-10</v>
      </c>
      <c r="C596" s="1">
        <f>J596/10*10^-3</f>
        <v>0</v>
      </c>
      <c r="E596" s="6">
        <f>F596-J596/4.186</f>
        <v>0</v>
      </c>
      <c r="F596" s="6"/>
      <c r="G596" s="8">
        <f>18/(4.86*5)</f>
        <v>0.7407407407407407</v>
      </c>
      <c r="K596" s="7">
        <f>J596-I596</f>
        <v>0</v>
      </c>
      <c r="L596" s="6"/>
      <c r="M596" s="5"/>
    </row>
    <row r="597" spans="1:13" x14ac:dyDescent="0.55000000000000004">
      <c r="A597" s="6"/>
      <c r="B597" s="8">
        <f>A597-10</f>
        <v>-10</v>
      </c>
      <c r="C597" s="1">
        <f>J597/10*10^-3</f>
        <v>0</v>
      </c>
      <c r="E597" s="6">
        <f>F597-J597/4.186</f>
        <v>0</v>
      </c>
      <c r="F597" s="6"/>
      <c r="G597" s="8">
        <f>18/(4.86*5)</f>
        <v>0.7407407407407407</v>
      </c>
      <c r="K597" s="7">
        <f>J597-I597</f>
        <v>0</v>
      </c>
      <c r="L597" s="6"/>
      <c r="M597" s="5"/>
    </row>
    <row r="598" spans="1:13" x14ac:dyDescent="0.55000000000000004">
      <c r="A598" s="6"/>
      <c r="B598" s="8">
        <f>A598-10</f>
        <v>-10</v>
      </c>
      <c r="C598" s="1">
        <f>J598/10*10^-3</f>
        <v>0</v>
      </c>
      <c r="E598" s="6">
        <f>F598-J598/4.186</f>
        <v>0</v>
      </c>
      <c r="F598" s="6"/>
      <c r="G598" s="8">
        <f>18/(4.86*5)</f>
        <v>0.7407407407407407</v>
      </c>
      <c r="K598" s="7">
        <f>J598-I598</f>
        <v>0</v>
      </c>
      <c r="L598" s="6"/>
      <c r="M598" s="5"/>
    </row>
    <row r="599" spans="1:13" x14ac:dyDescent="0.55000000000000004">
      <c r="A599" s="6"/>
      <c r="B599" s="8">
        <f>A599-10</f>
        <v>-10</v>
      </c>
      <c r="C599" s="1">
        <f>J599/10*10^-3</f>
        <v>0</v>
      </c>
      <c r="E599" s="6">
        <f>F599-J599/4.186</f>
        <v>0</v>
      </c>
      <c r="F599" s="6"/>
      <c r="G599" s="8">
        <f>18/(4.86*5)</f>
        <v>0.7407407407407407</v>
      </c>
      <c r="K599" s="7">
        <f>J599-I599</f>
        <v>0</v>
      </c>
      <c r="L599" s="6"/>
      <c r="M599" s="5"/>
    </row>
    <row r="600" spans="1:13" x14ac:dyDescent="0.55000000000000004">
      <c r="A600" s="6"/>
      <c r="B600" s="8">
        <f>A600-10</f>
        <v>-10</v>
      </c>
      <c r="C600" s="1">
        <f>J600/10*10^-3</f>
        <v>0</v>
      </c>
      <c r="E600" s="6">
        <f>F600-J600/4.186</f>
        <v>0</v>
      </c>
      <c r="F600" s="6"/>
      <c r="G600" s="8">
        <f>18/(4.86*5)</f>
        <v>0.7407407407407407</v>
      </c>
      <c r="K600" s="7">
        <f>J600-I600</f>
        <v>0</v>
      </c>
      <c r="L600" s="6"/>
      <c r="M600" s="5"/>
    </row>
    <row r="601" spans="1:13" x14ac:dyDescent="0.55000000000000004">
      <c r="A601" s="6"/>
      <c r="B601" s="8">
        <f>A601-10</f>
        <v>-10</v>
      </c>
      <c r="C601" s="1">
        <f>J601/10*10^-3</f>
        <v>0</v>
      </c>
      <c r="E601" s="6">
        <f>F601-J601/4.186</f>
        <v>0</v>
      </c>
      <c r="F601" s="6"/>
      <c r="G601" s="8">
        <f>18/(4.86*5)</f>
        <v>0.7407407407407407</v>
      </c>
      <c r="K601" s="7">
        <f>J601-I601</f>
        <v>0</v>
      </c>
      <c r="L601" s="6"/>
      <c r="M601" s="5"/>
    </row>
    <row r="602" spans="1:13" x14ac:dyDescent="0.55000000000000004">
      <c r="A602" s="6"/>
      <c r="B602" s="8">
        <f>A602-10</f>
        <v>-10</v>
      </c>
      <c r="C602" s="1">
        <f>J602/10*10^-3</f>
        <v>0</v>
      </c>
      <c r="E602" s="6">
        <f>F602-J602/4.186</f>
        <v>0</v>
      </c>
      <c r="F602" s="6"/>
      <c r="G602" s="8">
        <f>18/(4.86*5)</f>
        <v>0.7407407407407407</v>
      </c>
      <c r="K602" s="7">
        <f>J602-I602</f>
        <v>0</v>
      </c>
      <c r="L602" s="6"/>
      <c r="M602" s="5"/>
    </row>
    <row r="603" spans="1:13" x14ac:dyDescent="0.55000000000000004">
      <c r="A603" s="6"/>
      <c r="B603" s="8">
        <f>A603-10</f>
        <v>-10</v>
      </c>
      <c r="C603" s="1">
        <f>J603/10*10^-3</f>
        <v>0</v>
      </c>
      <c r="E603" s="6">
        <f>F603-J603/4.186</f>
        <v>0</v>
      </c>
      <c r="F603" s="6"/>
      <c r="G603" s="8">
        <f>18/(4.86*5)</f>
        <v>0.7407407407407407</v>
      </c>
      <c r="K603" s="7">
        <f>J603-I603</f>
        <v>0</v>
      </c>
      <c r="L603" s="6"/>
      <c r="M603" s="5"/>
    </row>
    <row r="604" spans="1:13" x14ac:dyDescent="0.55000000000000004">
      <c r="A604" s="6"/>
      <c r="B604" s="8">
        <f>A604-10</f>
        <v>-10</v>
      </c>
      <c r="C604" s="1">
        <f>J604/10*10^-3</f>
        <v>0</v>
      </c>
      <c r="E604" s="6">
        <f>F604-J604/4.186</f>
        <v>0</v>
      </c>
      <c r="F604" s="6"/>
      <c r="G604" s="8">
        <f>18/(4.86*5)</f>
        <v>0.7407407407407407</v>
      </c>
      <c r="K604" s="7">
        <f>J604-I604</f>
        <v>0</v>
      </c>
      <c r="L604" s="6"/>
      <c r="M604" s="5"/>
    </row>
    <row r="605" spans="1:13" x14ac:dyDescent="0.55000000000000004">
      <c r="A605" s="6"/>
      <c r="B605" s="8">
        <f>A605-10</f>
        <v>-10</v>
      </c>
      <c r="C605" s="1">
        <f>J605/10*10^-3</f>
        <v>0</v>
      </c>
      <c r="E605" s="6">
        <f>F605-J605/4.186</f>
        <v>0</v>
      </c>
      <c r="F605" s="6"/>
      <c r="G605" s="8">
        <f>18/(4.86*5)</f>
        <v>0.7407407407407407</v>
      </c>
      <c r="K605" s="7">
        <f>J605-I605</f>
        <v>0</v>
      </c>
      <c r="L605" s="6"/>
      <c r="M605" s="5"/>
    </row>
    <row r="606" spans="1:13" x14ac:dyDescent="0.55000000000000004">
      <c r="A606" s="6"/>
      <c r="B606" s="8">
        <f>A606-10</f>
        <v>-10</v>
      </c>
      <c r="C606" s="1">
        <f>J606/10*10^-3</f>
        <v>0</v>
      </c>
      <c r="E606" s="6">
        <f>F606-J606/4.186</f>
        <v>0</v>
      </c>
      <c r="F606" s="6"/>
      <c r="G606" s="8">
        <f>18/(4.86*5)</f>
        <v>0.7407407407407407</v>
      </c>
      <c r="K606" s="7">
        <f>J606-I606</f>
        <v>0</v>
      </c>
      <c r="L606" s="6"/>
      <c r="M606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4229-AFB0-4D0E-84F8-D251FA91B5FB}">
  <sheetPr>
    <tabColor theme="0" tint="-0.249977111117893"/>
  </sheetPr>
  <dimension ref="A1:F7"/>
  <sheetViews>
    <sheetView workbookViewId="0">
      <selection activeCell="F8" sqref="F8"/>
    </sheetView>
  </sheetViews>
  <sheetFormatPr defaultRowHeight="14.4" x14ac:dyDescent="0.55000000000000004"/>
  <cols>
    <col min="6" max="6" width="8.68359375" customWidth="1"/>
  </cols>
  <sheetData>
    <row r="1" spans="1:6" x14ac:dyDescent="0.55000000000000004">
      <c r="A1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</row>
    <row r="2" spans="1:6" x14ac:dyDescent="0.55000000000000004">
      <c r="A2" t="s">
        <v>27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</row>
    <row r="3" spans="1:6" x14ac:dyDescent="0.55000000000000004">
      <c r="A3" t="s">
        <v>39</v>
      </c>
      <c r="B3" s="13">
        <v>-15</v>
      </c>
      <c r="C3" s="13">
        <f>(-15-16)/-26</f>
        <v>1.1923076923076923</v>
      </c>
      <c r="D3" s="13">
        <v>2.666666666666667</v>
      </c>
      <c r="E3" s="13"/>
      <c r="F3" s="13"/>
    </row>
    <row r="4" spans="1:6" x14ac:dyDescent="0.55000000000000004">
      <c r="A4" t="s">
        <v>28</v>
      </c>
      <c r="B4" s="13">
        <v>-7</v>
      </c>
      <c r="C4" s="13">
        <f>(-7-16)/-26</f>
        <v>0.88461538461538458</v>
      </c>
      <c r="D4" s="13">
        <v>2.9110169491525424</v>
      </c>
      <c r="E4" s="13"/>
      <c r="F4" s="13"/>
    </row>
    <row r="5" spans="1:6" x14ac:dyDescent="0.55000000000000004">
      <c r="A5" t="s">
        <v>29</v>
      </c>
      <c r="B5" s="13">
        <v>2</v>
      </c>
      <c r="C5" s="13">
        <f>(2-16)/(-26)</f>
        <v>0.53846153846153844</v>
      </c>
      <c r="D5" s="13">
        <v>4.3</v>
      </c>
      <c r="E5" s="13"/>
      <c r="F5" s="13"/>
    </row>
    <row r="6" spans="1:6" x14ac:dyDescent="0.55000000000000004">
      <c r="A6" t="s">
        <v>30</v>
      </c>
      <c r="B6" s="13">
        <v>7</v>
      </c>
      <c r="C6" s="13">
        <f>(7-16)/-26</f>
        <v>0.34615384615384615</v>
      </c>
      <c r="D6" s="13">
        <v>5.4262295081967213</v>
      </c>
      <c r="E6" s="13"/>
      <c r="F6" s="13"/>
    </row>
    <row r="7" spans="1:6" x14ac:dyDescent="0.55000000000000004">
      <c r="A7" t="s">
        <v>31</v>
      </c>
      <c r="B7" s="13">
        <v>0</v>
      </c>
      <c r="C7" s="13">
        <v>0</v>
      </c>
      <c r="D7" s="13">
        <v>0</v>
      </c>
      <c r="E7" s="13"/>
      <c r="F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SetData</vt:lpstr>
      <vt:lpstr>Test</vt:lpstr>
      <vt:lpstr>curve</vt:lpstr>
    </vt:vector>
  </TitlesOfParts>
  <Company>DII -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Bena'</dc:creator>
  <cp:lastModifiedBy>Francesco Bena'</cp:lastModifiedBy>
  <dcterms:created xsi:type="dcterms:W3CDTF">2024-11-27T13:56:42Z</dcterms:created>
  <dcterms:modified xsi:type="dcterms:W3CDTF">2024-11-27T15:42:55Z</dcterms:modified>
</cp:coreProperties>
</file>